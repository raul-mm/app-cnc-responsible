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codeName="ThisWorkbook"/>
  <xr:revisionPtr revIDLastSave="0" documentId="13_ncr:1_{9D2B85BF-DD6F-4D54-9C2B-A7B509CB38DB}" xr6:coauthVersionLast="46" xr6:coauthVersionMax="46" xr10:uidLastSave="{00000000-0000-0000-0000-000000000000}"/>
  <workbookProtection lockStructure="1"/>
  <bookViews>
    <workbookView xWindow="11370" yWindow="225" windowWidth="17130" windowHeight="15870" xr2:uid="{00000000-000D-0000-FFFF-FFFF00000000}"/>
  </bookViews>
  <sheets>
    <sheet name="Registrar aquí" sheetId="1" r:id="rId1"/>
    <sheet name="Hoja para Impresión" sheetId="2" state="hidden" r:id="rId2"/>
    <sheet name="Parámetros" sheetId="3" state="hidden" r:id="rId3"/>
  </sheets>
  <definedNames>
    <definedName name="_xlnm._FilterDatabase" localSheetId="2" hidden="1">Parámetros!#REF!</definedName>
    <definedName name="_xlnm.Print_Area" localSheetId="1">'Hoja para Impresión'!$A$1:$E$125</definedName>
    <definedName name="lDiocesis">Parámetros!$A$2:$A$46</definedName>
    <definedName name="lNComunidad">Parámetros!$E$2:$E$31</definedName>
    <definedName name="lPasos">Parámetros!$C$2:$C$18</definedName>
  </definedNames>
  <calcPr calcId="191029"/>
</workbook>
</file>

<file path=xl/calcChain.xml><?xml version="1.0" encoding="utf-8"?>
<calcChain xmlns="http://schemas.openxmlformats.org/spreadsheetml/2006/main">
  <c r="B12" i="1" l="1"/>
  <c r="C15" i="2" l="1"/>
  <c r="D42" i="2" l="1"/>
  <c r="D72" i="2" l="1"/>
  <c r="D62" i="2"/>
  <c r="D52" i="2"/>
  <c r="D51" i="2"/>
  <c r="D124" i="2"/>
  <c r="D123" i="2"/>
  <c r="E120" i="2"/>
  <c r="D120" i="2"/>
  <c r="C120" i="2"/>
  <c r="B120" i="2"/>
  <c r="E118" i="2"/>
  <c r="D118" i="2"/>
  <c r="C118" i="2"/>
  <c r="B118" i="2"/>
  <c r="E116" i="2"/>
  <c r="D116" i="2"/>
  <c r="C116" i="2"/>
  <c r="B116" i="2"/>
  <c r="E114" i="2"/>
  <c r="D114" i="2"/>
  <c r="C114" i="2"/>
  <c r="B114" i="2"/>
  <c r="E110" i="2"/>
  <c r="D110" i="2"/>
  <c r="C110" i="2"/>
  <c r="B110" i="2"/>
  <c r="E109" i="2"/>
  <c r="D109" i="2"/>
  <c r="C109" i="2"/>
  <c r="B109" i="2"/>
  <c r="E108" i="2"/>
  <c r="D108" i="2"/>
  <c r="C108" i="2"/>
  <c r="B108" i="2"/>
  <c r="E107" i="2"/>
  <c r="D107" i="2"/>
  <c r="C107" i="2"/>
  <c r="B107" i="2"/>
  <c r="E106" i="2"/>
  <c r="D106" i="2"/>
  <c r="C106" i="2"/>
  <c r="B106" i="2"/>
  <c r="E103" i="2"/>
  <c r="D103" i="2"/>
  <c r="C103" i="2"/>
  <c r="B103" i="2"/>
  <c r="E102" i="2"/>
  <c r="D102" i="2"/>
  <c r="C102" i="2"/>
  <c r="B102" i="2"/>
  <c r="E101" i="2"/>
  <c r="D101" i="2"/>
  <c r="C101" i="2"/>
  <c r="B101" i="2"/>
  <c r="E100" i="2"/>
  <c r="D100" i="2"/>
  <c r="C100" i="2"/>
  <c r="B100" i="2"/>
  <c r="E99" i="2"/>
  <c r="D99" i="2"/>
  <c r="C99" i="2"/>
  <c r="B99" i="2"/>
  <c r="E98" i="2"/>
  <c r="D98" i="2"/>
  <c r="C98" i="2"/>
  <c r="B98" i="2"/>
  <c r="E97" i="2"/>
  <c r="D97" i="2"/>
  <c r="C97" i="2"/>
  <c r="B97" i="2"/>
  <c r="E96" i="2"/>
  <c r="D96" i="2"/>
  <c r="C96" i="2"/>
  <c r="B96" i="2"/>
  <c r="E93" i="2"/>
  <c r="D93" i="2"/>
  <c r="C93" i="2"/>
  <c r="B93" i="2"/>
  <c r="E92" i="2"/>
  <c r="D92" i="2"/>
  <c r="C92" i="2"/>
  <c r="B92" i="2"/>
  <c r="E91" i="2"/>
  <c r="D91" i="2"/>
  <c r="C91" i="2"/>
  <c r="B91" i="2"/>
  <c r="E90" i="2"/>
  <c r="D90" i="2"/>
  <c r="C90" i="2"/>
  <c r="B90" i="2"/>
  <c r="E89" i="2"/>
  <c r="D89" i="2"/>
  <c r="C89" i="2"/>
  <c r="B89" i="2"/>
  <c r="E88" i="2"/>
  <c r="D88" i="2"/>
  <c r="C88" i="2"/>
  <c r="B88" i="2"/>
  <c r="E87" i="2"/>
  <c r="D87" i="2"/>
  <c r="C87" i="2"/>
  <c r="B87" i="2"/>
  <c r="E86" i="2"/>
  <c r="D86" i="2"/>
  <c r="C86" i="2"/>
  <c r="B86" i="2"/>
  <c r="D81" i="2"/>
  <c r="E79" i="2"/>
  <c r="D79" i="2"/>
  <c r="C79" i="2"/>
  <c r="B79" i="2"/>
  <c r="E78" i="2"/>
  <c r="D78" i="2"/>
  <c r="C78" i="2"/>
  <c r="B78" i="2"/>
  <c r="E77" i="2"/>
  <c r="D77" i="2"/>
  <c r="C77" i="2"/>
  <c r="B77" i="2"/>
  <c r="E76" i="2"/>
  <c r="D76" i="2"/>
  <c r="C76" i="2"/>
  <c r="B76" i="2"/>
  <c r="E75" i="2"/>
  <c r="D75" i="2"/>
  <c r="C75" i="2"/>
  <c r="B75" i="2"/>
  <c r="E74" i="2"/>
  <c r="D74" i="2"/>
  <c r="C74" i="2"/>
  <c r="B74" i="2"/>
  <c r="E73" i="2"/>
  <c r="D73" i="2"/>
  <c r="C73" i="2"/>
  <c r="B73" i="2"/>
  <c r="E71" i="2"/>
  <c r="D71" i="2"/>
  <c r="C71" i="2"/>
  <c r="B71" i="2"/>
  <c r="E69" i="2"/>
  <c r="D69" i="2"/>
  <c r="C69" i="2"/>
  <c r="B69" i="2"/>
  <c r="E68" i="2"/>
  <c r="D68" i="2"/>
  <c r="C68" i="2"/>
  <c r="B68" i="2"/>
  <c r="E67" i="2"/>
  <c r="D67" i="2"/>
  <c r="C67" i="2"/>
  <c r="B67" i="2"/>
  <c r="E66" i="2"/>
  <c r="D66" i="2"/>
  <c r="C66" i="2"/>
  <c r="B66" i="2"/>
  <c r="E65" i="2"/>
  <c r="D65" i="2"/>
  <c r="C65" i="2"/>
  <c r="B65" i="2"/>
  <c r="E64" i="2"/>
  <c r="D64" i="2"/>
  <c r="C64" i="2"/>
  <c r="B64" i="2"/>
  <c r="E63" i="2"/>
  <c r="D63" i="2"/>
  <c r="C63" i="2"/>
  <c r="B63" i="2"/>
  <c r="E61" i="2"/>
  <c r="D61" i="2"/>
  <c r="C61" i="2"/>
  <c r="B61" i="2"/>
  <c r="E59" i="2"/>
  <c r="D59" i="2"/>
  <c r="C59" i="2"/>
  <c r="B59" i="2"/>
  <c r="E58" i="2"/>
  <c r="D58" i="2"/>
  <c r="C58" i="2"/>
  <c r="B58" i="2"/>
  <c r="E57" i="2"/>
  <c r="D57" i="2"/>
  <c r="C57" i="2"/>
  <c r="B57" i="2"/>
  <c r="E56" i="2"/>
  <c r="D56" i="2"/>
  <c r="C56" i="2"/>
  <c r="B56" i="2"/>
  <c r="E55" i="2"/>
  <c r="D55" i="2"/>
  <c r="C55" i="2"/>
  <c r="B55" i="2"/>
  <c r="E54" i="2"/>
  <c r="D54" i="2"/>
  <c r="C54" i="2"/>
  <c r="B54" i="2"/>
  <c r="E53" i="2"/>
  <c r="D53" i="2"/>
  <c r="C53" i="2"/>
  <c r="B53" i="2"/>
  <c r="E51" i="2"/>
  <c r="C51" i="2"/>
  <c r="B51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1" i="2"/>
  <c r="D41" i="2"/>
  <c r="C41" i="2"/>
  <c r="B41" i="2"/>
  <c r="D27" i="2"/>
  <c r="D24" i="2"/>
  <c r="C18" i="2" l="1"/>
  <c r="C17" i="2"/>
  <c r="C16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6" i="2"/>
  <c r="D26" i="2"/>
  <c r="C26" i="2"/>
  <c r="B26" i="2"/>
  <c r="E23" i="2"/>
  <c r="D23" i="2"/>
  <c r="C23" i="2"/>
  <c r="B23" i="2"/>
  <c r="C13" i="2" l="1"/>
  <c r="C12" i="2"/>
  <c r="C11" i="2"/>
  <c r="C10" i="2"/>
  <c r="C7" i="2"/>
  <c r="B3" i="2"/>
  <c r="C21" i="1" l="1"/>
  <c r="C9" i="2" s="1"/>
  <c r="B4" i="2" l="1"/>
  <c r="B11" i="1" l="1"/>
</calcChain>
</file>

<file path=xl/sharedStrings.xml><?xml version="1.0" encoding="utf-8"?>
<sst xmlns="http://schemas.openxmlformats.org/spreadsheetml/2006/main" count="253" uniqueCount="182">
  <si>
    <t>INFORMACIÓN GENERAL</t>
  </si>
  <si>
    <t>Diócesis</t>
  </si>
  <si>
    <t>Pasos</t>
  </si>
  <si>
    <t>Convivencia de Inicio</t>
  </si>
  <si>
    <t>Convivencia de Año</t>
  </si>
  <si>
    <t>I Escrutinio</t>
  </si>
  <si>
    <t>Shema</t>
  </si>
  <si>
    <t>II Escrutinio</t>
  </si>
  <si>
    <t>Iniciación a la Oración</t>
  </si>
  <si>
    <t>Traditio</t>
  </si>
  <si>
    <t>Re-traditio</t>
  </si>
  <si>
    <t>Redditio</t>
  </si>
  <si>
    <t>I Padre Nuestro</t>
  </si>
  <si>
    <t>II Padre Nuestro</t>
  </si>
  <si>
    <t>III Padre Nuestro</t>
  </si>
  <si>
    <t>I Elección</t>
  </si>
  <si>
    <t>II Elección</t>
  </si>
  <si>
    <t>III Elección</t>
  </si>
  <si>
    <t>RPB</t>
  </si>
  <si>
    <t>Por favor, registra la información solicitada.</t>
  </si>
  <si>
    <t>Arquidiócesis de Arequipa</t>
  </si>
  <si>
    <t>Arquidiócesis de Ayacucho</t>
  </si>
  <si>
    <t>Arquidiócesis de Cuzco</t>
  </si>
  <si>
    <t>Arquidiócesis de Huancayo</t>
  </si>
  <si>
    <t>Arquidiócesis de Lima</t>
  </si>
  <si>
    <t>Arquidiócesis de Piura</t>
  </si>
  <si>
    <t>Arquidiócesis de Trujillo</t>
  </si>
  <si>
    <t>Diócesis de Abancay</t>
  </si>
  <si>
    <t>Diócesis de Cajamarca</t>
  </si>
  <si>
    <t>Diócesis de Callao</t>
  </si>
  <si>
    <t>Diócesis de Carabayllo</t>
  </si>
  <si>
    <t>Diócesis de Chachapoyas</t>
  </si>
  <si>
    <t>Diócesis de Chiclayo</t>
  </si>
  <si>
    <t>Diócesis de Chimbote</t>
  </si>
  <si>
    <t>Diócesis de Chosica</t>
  </si>
  <si>
    <t>Diócesis de Chulucanas</t>
  </si>
  <si>
    <t>Diócesis de Huacho</t>
  </si>
  <si>
    <t>Diócesis de Huancavélica</t>
  </si>
  <si>
    <t>Diócesis de Huánuco</t>
  </si>
  <si>
    <t>Diócesis de Huaraz</t>
  </si>
  <si>
    <t>Diócesis de Huarí</t>
  </si>
  <si>
    <t>Diócesis de Ica</t>
  </si>
  <si>
    <t>Diócesis de Lurín</t>
  </si>
  <si>
    <t>Diócesis de Puno</t>
  </si>
  <si>
    <t>Diócesis de Tacna y Moquegua</t>
  </si>
  <si>
    <t>Diócesis de Tarma</t>
  </si>
  <si>
    <t>Prelatura de Ayaviri</t>
  </si>
  <si>
    <t>Prelatura de Caravelí</t>
  </si>
  <si>
    <t>Prelatura de Chota</t>
  </si>
  <si>
    <t>Prelatura de Chuquibamba</t>
  </si>
  <si>
    <t>Prelatura de Chuquibambilla</t>
  </si>
  <si>
    <t>Prelatura de Huamachuco</t>
  </si>
  <si>
    <t>Prelatura de Juli</t>
  </si>
  <si>
    <t>Prelatura de Moyobamba</t>
  </si>
  <si>
    <t>Prelatura de Sicuani</t>
  </si>
  <si>
    <t>Prelatura de Yauyos</t>
  </si>
  <si>
    <t>Vicariato apostólico de Iquitos</t>
  </si>
  <si>
    <t>Vicariato apostólico de Jaén en Peru o San Francisco Javier</t>
  </si>
  <si>
    <t>Vicariato apostólico de Pucallpa</t>
  </si>
  <si>
    <t>Vicariato apostólico de Puerto Maldonado</t>
  </si>
  <si>
    <t>Vicariato apostólico de Requena</t>
  </si>
  <si>
    <t>Vicariato apostólico de San José del Amazonas</t>
  </si>
  <si>
    <t>Vicariato apostólico de San Ramón</t>
  </si>
  <si>
    <t>Vicariato apostólico de Yurimaguas</t>
  </si>
  <si>
    <t>Obispado castrense</t>
  </si>
  <si>
    <t>¿Es parroquia o capilla?</t>
  </si>
  <si>
    <t>¿De qué parroquia depende?</t>
  </si>
  <si>
    <t>CENTRO NEOCATECUMENAL ARQUIDIOCESANO - LIMA
Psje. Los Camaroneros 499  - Rímac
Telf. 481 6668 - 482 4053</t>
  </si>
  <si>
    <t>Fecha</t>
  </si>
  <si>
    <t>DE LA COMUNIDAD</t>
  </si>
  <si>
    <t>Matrimonios</t>
  </si>
  <si>
    <t>Hombres</t>
  </si>
  <si>
    <t>Mujeres</t>
  </si>
  <si>
    <t>Presbíteros</t>
  </si>
  <si>
    <t>Número de comunidad</t>
  </si>
  <si>
    <t>Número de hermanos</t>
  </si>
  <si>
    <r>
      <t>Catequizados por</t>
    </r>
    <r>
      <rPr>
        <sz val="8"/>
        <rFont val="Arial"/>
        <family val="2"/>
      </rPr>
      <t xml:space="preserve"> (N° comunidad y parroquia)</t>
    </r>
  </si>
  <si>
    <t>Tercera</t>
  </si>
  <si>
    <t>Fecha de nacimiento de la comunidad</t>
  </si>
  <si>
    <t>Último paso</t>
  </si>
  <si>
    <t>Fecha del paso</t>
  </si>
  <si>
    <t>¿Hubo rito?</t>
  </si>
  <si>
    <t>Nombres y apellidos</t>
  </si>
  <si>
    <t>Domicilio</t>
  </si>
  <si>
    <t>Teléfono fijo</t>
  </si>
  <si>
    <t>Teléfono móvil</t>
  </si>
  <si>
    <t>Correo electrónico</t>
  </si>
  <si>
    <t>CORRESPONSABLES</t>
  </si>
  <si>
    <t>PRESBÍTEROS DE LA COMUNIDAD</t>
  </si>
  <si>
    <t>VICE-RESPONSABLE</t>
  </si>
  <si>
    <t>RESPONSABLE</t>
  </si>
  <si>
    <t>CARISMAS</t>
  </si>
  <si>
    <t>ITINERANTES</t>
  </si>
  <si>
    <t>Zona de misión</t>
  </si>
  <si>
    <t>FAMILIAS EN MISIÓN</t>
  </si>
  <si>
    <t>SEMINARISTAS</t>
  </si>
  <si>
    <t>Seminario</t>
  </si>
  <si>
    <t>RESPONSABLE DE CANTOS</t>
  </si>
  <si>
    <t>RESPONSABLE DE LECTORES</t>
  </si>
  <si>
    <t>OSTIARIO</t>
  </si>
  <si>
    <t>MAESTRO DE NIÑOS</t>
  </si>
  <si>
    <t>Nombre del responsable</t>
  </si>
  <si>
    <t>Comunidad</t>
  </si>
  <si>
    <t>Primera</t>
  </si>
  <si>
    <t>Segunda</t>
  </si>
  <si>
    <t>Cuarta</t>
  </si>
  <si>
    <t>Quinta</t>
  </si>
  <si>
    <t>Sexta</t>
  </si>
  <si>
    <t>Séptima</t>
  </si>
  <si>
    <t>Octava</t>
  </si>
  <si>
    <t>Novena</t>
  </si>
  <si>
    <t>Décima</t>
  </si>
  <si>
    <t>Duodécima</t>
  </si>
  <si>
    <t>Undécima</t>
  </si>
  <si>
    <t>Décimo tercera</t>
  </si>
  <si>
    <t>Décimo cuarta</t>
  </si>
  <si>
    <t>Décimo quinta</t>
  </si>
  <si>
    <t>Décimo sexta</t>
  </si>
  <si>
    <t>Décimo séptima</t>
  </si>
  <si>
    <t>Décimo octava</t>
  </si>
  <si>
    <t>Décimo novena</t>
  </si>
  <si>
    <t>Vigésima</t>
  </si>
  <si>
    <t>Vigésimo primera</t>
  </si>
  <si>
    <t>Vigésimo segunda</t>
  </si>
  <si>
    <t>Vigésimo tercera</t>
  </si>
  <si>
    <t>Vigésimo cuarta</t>
  </si>
  <si>
    <t>Vigésimo quinta</t>
  </si>
  <si>
    <t>1ra</t>
  </si>
  <si>
    <t>2da</t>
  </si>
  <si>
    <t>3ra</t>
  </si>
  <si>
    <t>7ma</t>
  </si>
  <si>
    <t>4ta</t>
  </si>
  <si>
    <t>5ta</t>
  </si>
  <si>
    <t>6ta</t>
  </si>
  <si>
    <t>8va</t>
  </si>
  <si>
    <t>9na</t>
  </si>
  <si>
    <t>10ma</t>
  </si>
  <si>
    <t>11ma</t>
  </si>
  <si>
    <t>12ma</t>
  </si>
  <si>
    <t>13ra</t>
  </si>
  <si>
    <t>14ta</t>
  </si>
  <si>
    <t>15ta</t>
  </si>
  <si>
    <t>16ta</t>
  </si>
  <si>
    <t>17ma</t>
  </si>
  <si>
    <t>18va</t>
  </si>
  <si>
    <t>19na</t>
  </si>
  <si>
    <t>20ma</t>
  </si>
  <si>
    <t>21ra</t>
  </si>
  <si>
    <t>22da</t>
  </si>
  <si>
    <t>23ra</t>
  </si>
  <si>
    <t>24ta</t>
  </si>
  <si>
    <t>25ta</t>
  </si>
  <si>
    <t>EQUIPO CATEQUISTA/RESPONSABLE</t>
  </si>
  <si>
    <t>Nº de COMUNIDAD</t>
  </si>
  <si>
    <t>Nº de HERMANOS</t>
  </si>
  <si>
    <t>Catequizados por</t>
  </si>
  <si>
    <t>Paso</t>
  </si>
  <si>
    <t>DATOS GENERALES</t>
  </si>
  <si>
    <t>Celular</t>
  </si>
  <si>
    <t>4to. EQUIPO DE CATEQUISTAS  (En caso de tenerlo)</t>
  </si>
  <si>
    <t>3er. EQUIPO DE CATEQUISTAS  (En caso de tenerlo)</t>
  </si>
  <si>
    <t>2do. EQUIPO DE CATEQUISTAS  (En caso de tenerlo)</t>
  </si>
  <si>
    <t>1er. EQUIPO DE CATEQUISTAS  (En caso de tenerlo)</t>
  </si>
  <si>
    <t>Total de hnos. que conforman los equipos catequistas</t>
  </si>
  <si>
    <t>Nombre del catequista</t>
  </si>
  <si>
    <t>26ta</t>
  </si>
  <si>
    <t>27ma</t>
  </si>
  <si>
    <t>28va</t>
  </si>
  <si>
    <t>29na</t>
  </si>
  <si>
    <t>30ma</t>
  </si>
  <si>
    <t>Vigésimo sexta</t>
  </si>
  <si>
    <t>Vigésimo séptima</t>
  </si>
  <si>
    <t>Vigésimo octava</t>
  </si>
  <si>
    <t>Vigésimo novena</t>
  </si>
  <si>
    <t>Trigésima</t>
  </si>
  <si>
    <t>Matrimonio espiritual</t>
  </si>
  <si>
    <t>Parroquia</t>
  </si>
  <si>
    <r>
      <rPr>
        <sz val="10"/>
        <color rgb="FF0070C0"/>
        <rFont val="Wingdings"/>
        <charset val="2"/>
      </rPr>
      <t>ç</t>
    </r>
    <r>
      <rPr>
        <sz val="10"/>
        <color rgb="FF0070C0"/>
        <rFont val="Arial"/>
        <family val="2"/>
      </rPr>
      <t xml:space="preserve"> Haga click aquí para seleccionar.</t>
    </r>
  </si>
  <si>
    <t>Correo electrónico:</t>
  </si>
  <si>
    <t xml:space="preserve">Correo electrónico: </t>
  </si>
  <si>
    <r>
      <rPr>
        <sz val="10"/>
        <color rgb="FF0070C0"/>
        <rFont val="Wingdings"/>
        <charset val="2"/>
      </rPr>
      <t>ç</t>
    </r>
    <r>
      <rPr>
        <sz val="10"/>
        <color rgb="FF0070C0"/>
        <rFont val="Arial"/>
        <family val="2"/>
      </rPr>
      <t xml:space="preserve"> Haga click aquí para seleccionar el paso.</t>
    </r>
  </si>
  <si>
    <t>N° aproximado de hnos. que  caminan: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</si>
</sst>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0" tint="-0.1499984740745262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sz val="7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sz val="11"/>
      <name val="Calibri"/>
      <family val="2"/>
      <scheme val="minor"/>
    </font>
    <font>
      <sz val="10"/>
      <color rgb="FF0070C0"/>
      <name val="Wingdings 2"/>
      <family val="1"/>
      <charset val="2"/>
    </font>
    <font>
      <sz val="10"/>
      <color rgb="FF0070C0"/>
      <name val="Wingdings"/>
      <charset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sz val="11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46">
    <xf numFmtId="0" fontId="0" fillId="0" borderId="0" xfId="0"/>
    <xf numFmtId="0" fontId="0" fillId="2" borderId="0" xfId="0" applyFill="1"/>
    <xf numFmtId="0" fontId="2" fillId="2" borderId="0" xfId="0" applyFont="1" applyFill="1"/>
    <xf numFmtId="0" fontId="2" fillId="2" borderId="0" xfId="0" applyFont="1" applyFill="1" applyAlignment="1">
      <alignment horizontal="center" vertical="center" wrapText="1"/>
    </xf>
    <xf numFmtId="0" fontId="1" fillId="0" borderId="0" xfId="0" applyFont="1"/>
    <xf numFmtId="0" fontId="4" fillId="2" borderId="0" xfId="0" applyFont="1" applyFill="1"/>
    <xf numFmtId="0" fontId="5" fillId="2" borderId="0" xfId="0" applyFont="1" applyFill="1"/>
    <xf numFmtId="0" fontId="3" fillId="2" borderId="0" xfId="0" applyFont="1" applyFill="1"/>
    <xf numFmtId="0" fontId="4" fillId="2" borderId="1" xfId="0" applyFont="1" applyFill="1" applyBorder="1"/>
    <xf numFmtId="0" fontId="6" fillId="2" borderId="0" xfId="0" applyFont="1" applyFill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4" xfId="0" applyFill="1" applyBorder="1"/>
    <xf numFmtId="0" fontId="0" fillId="2" borderId="3" xfId="0" applyFill="1" applyBorder="1"/>
    <xf numFmtId="0" fontId="0" fillId="2" borderId="5" xfId="0" applyFill="1" applyBorder="1"/>
    <xf numFmtId="14" fontId="4" fillId="2" borderId="1" xfId="0" applyNumberFormat="1" applyFont="1" applyFill="1" applyBorder="1" applyAlignment="1">
      <alignment horizontal="center"/>
    </xf>
    <xf numFmtId="0" fontId="4" fillId="2" borderId="0" xfId="0" applyFont="1" applyFill="1" applyAlignment="1">
      <alignment horizontal="left"/>
    </xf>
    <xf numFmtId="0" fontId="3" fillId="3" borderId="9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right" vertical="center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7" fillId="2" borderId="0" xfId="0" applyFont="1" applyFill="1"/>
    <xf numFmtId="0" fontId="2" fillId="2" borderId="7" xfId="0" applyFont="1" applyFill="1" applyBorder="1"/>
    <xf numFmtId="0" fontId="11" fillId="2" borderId="0" xfId="0" applyFont="1" applyFill="1"/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12" fillId="2" borderId="1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/>
    </xf>
    <xf numFmtId="0" fontId="4" fillId="2" borderId="0" xfId="0" applyFont="1" applyFill="1" applyAlignment="1">
      <alignment horizontal="right"/>
    </xf>
    <xf numFmtId="0" fontId="13" fillId="2" borderId="6" xfId="1" applyFont="1" applyFill="1" applyBorder="1" applyAlignment="1">
      <alignment horizontal="center" wrapText="1"/>
    </xf>
    <xf numFmtId="0" fontId="4" fillId="2" borderId="8" xfId="0" applyFont="1" applyFill="1" applyBorder="1" applyAlignment="1">
      <alignment horizontal="center" wrapText="1"/>
    </xf>
    <xf numFmtId="0" fontId="9" fillId="2" borderId="2" xfId="0" applyFont="1" applyFill="1" applyBorder="1" applyAlignment="1">
      <alignment horizontal="center" vertical="top" wrapText="1"/>
    </xf>
    <xf numFmtId="0" fontId="9" fillId="2" borderId="3" xfId="0" applyFont="1" applyFill="1" applyBorder="1" applyAlignment="1">
      <alignment horizontal="center" vertical="top" wrapText="1"/>
    </xf>
    <xf numFmtId="0" fontId="4" fillId="2" borderId="6" xfId="0" applyFont="1" applyFill="1" applyBorder="1" applyAlignment="1">
      <alignment horizontal="center" wrapText="1"/>
    </xf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9" fillId="2" borderId="2" xfId="0" applyFont="1" applyFill="1" applyBorder="1" applyAlignment="1">
      <alignment horizontal="center" wrapText="1"/>
    </xf>
    <xf numFmtId="0" fontId="9" fillId="2" borderId="3" xfId="0" applyFont="1" applyFill="1" applyBorder="1" applyAlignment="1">
      <alignment horizontal="center" wrapText="1"/>
    </xf>
    <xf numFmtId="0" fontId="14" fillId="0" borderId="0" xfId="0" applyFont="1" applyFill="1"/>
    <xf numFmtId="0" fontId="14" fillId="2" borderId="0" xfId="0" applyFont="1" applyFill="1"/>
    <xf numFmtId="0" fontId="17" fillId="3" borderId="9" xfId="0" applyFont="1" applyFill="1" applyBorder="1" applyAlignment="1">
      <alignment horizontal="right" vertical="center" wrapText="1"/>
    </xf>
    <xf numFmtId="0" fontId="17" fillId="3" borderId="9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/>
    </xf>
    <xf numFmtId="0" fontId="18" fillId="2" borderId="0" xfId="0" applyFont="1" applyFill="1"/>
  </cellXfs>
  <cellStyles count="2">
    <cellStyle name="Hipervínculo" xfId="1" builtinId="8"/>
    <cellStyle name="Normal" xfId="0" builtinId="0"/>
  </cellStyles>
  <dxfs count="2">
    <dxf>
      <border>
        <left style="thin">
          <color theme="0" tint="-0.34998626667073579"/>
        </left>
        <right style="thin">
          <color theme="0" tint="-0.34998626667073579"/>
        </right>
        <top style="thin">
          <color theme="0" tint="-0.34998626667073579"/>
        </top>
        <bottom style="thin">
          <color theme="0" tint="-0.34998626667073579"/>
        </bottom>
        <vertical/>
        <horizontal/>
      </border>
    </dxf>
    <dxf>
      <font>
        <color auto="1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Rojo naranja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E128"/>
  <sheetViews>
    <sheetView tabSelected="1" topLeftCell="A91" zoomScaleNormal="100" workbookViewId="0">
      <selection activeCell="C1" sqref="C1"/>
    </sheetView>
  </sheetViews>
  <sheetFormatPr baseColWidth="10" defaultColWidth="9.140625" defaultRowHeight="12.75" x14ac:dyDescent="0.2"/>
  <cols>
    <col min="1" max="1" width="2.7109375" style="2" customWidth="1"/>
    <col min="2" max="2" width="34.7109375" style="2" customWidth="1"/>
    <col min="3" max="3" width="42.140625" style="2" customWidth="1"/>
    <col min="4" max="4" width="19.140625" style="2" customWidth="1"/>
    <col min="5" max="5" width="15.140625" style="2" customWidth="1"/>
    <col min="6" max="16384" width="9.140625" style="2"/>
  </cols>
  <sheetData>
    <row r="1" spans="1:4" ht="39" customHeight="1" x14ac:dyDescent="0.2">
      <c r="A1" s="32" t="s">
        <v>67</v>
      </c>
      <c r="B1" s="33"/>
    </row>
    <row r="2" spans="1:4" ht="18" x14ac:dyDescent="0.25">
      <c r="B2" s="9" t="s">
        <v>157</v>
      </c>
    </row>
    <row r="3" spans="1:4" ht="18" x14ac:dyDescent="0.25">
      <c r="B3" s="9"/>
    </row>
    <row r="4" spans="1:4" ht="14.25" x14ac:dyDescent="0.2">
      <c r="B4" s="45" t="s">
        <v>19</v>
      </c>
    </row>
    <row r="6" spans="1:4" ht="15" x14ac:dyDescent="0.25">
      <c r="B6" s="6" t="s">
        <v>0</v>
      </c>
    </row>
    <row r="7" spans="1:4" ht="15" x14ac:dyDescent="0.25">
      <c r="B7" s="6"/>
    </row>
    <row r="8" spans="1:4" x14ac:dyDescent="0.2">
      <c r="B8" s="5" t="s">
        <v>65</v>
      </c>
      <c r="C8" s="11" t="s">
        <v>176</v>
      </c>
      <c r="D8" s="40" t="s">
        <v>177</v>
      </c>
    </row>
    <row r="9" spans="1:4" x14ac:dyDescent="0.2">
      <c r="B9" s="7" t="s">
        <v>66</v>
      </c>
      <c r="C9" s="20"/>
    </row>
    <row r="10" spans="1:4" ht="15" x14ac:dyDescent="0.25">
      <c r="B10" s="6"/>
      <c r="C10" s="21"/>
    </row>
    <row r="11" spans="1:4" x14ac:dyDescent="0.2">
      <c r="B11" s="24" t="str">
        <f>"DE LA "&amp;UPPER(C8)</f>
        <v>DE LA PARROQUIA</v>
      </c>
      <c r="C11" s="21"/>
    </row>
    <row r="12" spans="1:4" ht="14.25" x14ac:dyDescent="0.2">
      <c r="B12" s="5" t="str">
        <f>"Nombre de la "&amp;C8</f>
        <v>Nombre de la Parroquia</v>
      </c>
      <c r="C12" s="27"/>
    </row>
    <row r="13" spans="1:4" x14ac:dyDescent="0.2">
      <c r="B13" s="5"/>
      <c r="C13" s="21"/>
    </row>
    <row r="14" spans="1:4" x14ac:dyDescent="0.2">
      <c r="B14" s="5"/>
      <c r="C14" s="17"/>
    </row>
    <row r="15" spans="1:4" x14ac:dyDescent="0.2">
      <c r="B15" s="24" t="s">
        <v>69</v>
      </c>
      <c r="C15" s="17"/>
    </row>
    <row r="16" spans="1:4" ht="14.25" x14ac:dyDescent="0.2">
      <c r="B16" s="25" t="s">
        <v>74</v>
      </c>
      <c r="C16" s="27"/>
      <c r="D16" s="41" t="s">
        <v>177</v>
      </c>
    </row>
    <row r="17" spans="2:4" x14ac:dyDescent="0.2">
      <c r="B17" s="5" t="s">
        <v>78</v>
      </c>
      <c r="C17" s="16"/>
    </row>
    <row r="18" spans="2:4" x14ac:dyDescent="0.2">
      <c r="B18" s="5" t="s">
        <v>76</v>
      </c>
      <c r="C18" s="11"/>
    </row>
    <row r="19" spans="2:4" x14ac:dyDescent="0.2">
      <c r="B19" s="5" t="s">
        <v>164</v>
      </c>
      <c r="C19" s="11"/>
    </row>
    <row r="20" spans="2:4" x14ac:dyDescent="0.2">
      <c r="B20" s="5"/>
      <c r="C20" s="17"/>
    </row>
    <row r="21" spans="2:4" ht="14.25" x14ac:dyDescent="0.2">
      <c r="B21" s="26" t="s">
        <v>75</v>
      </c>
      <c r="C21" s="28">
        <f>SUM(C22*2,C23,C24,C25)</f>
        <v>0</v>
      </c>
    </row>
    <row r="22" spans="2:4" x14ac:dyDescent="0.2">
      <c r="B22" s="17" t="s">
        <v>70</v>
      </c>
      <c r="C22" s="11"/>
    </row>
    <row r="23" spans="2:4" x14ac:dyDescent="0.2">
      <c r="B23" s="17" t="s">
        <v>71</v>
      </c>
      <c r="C23" s="11"/>
    </row>
    <row r="24" spans="2:4" x14ac:dyDescent="0.2">
      <c r="B24" s="17" t="s">
        <v>72</v>
      </c>
      <c r="C24" s="11"/>
    </row>
    <row r="25" spans="2:4" x14ac:dyDescent="0.2">
      <c r="B25" s="17" t="s">
        <v>73</v>
      </c>
      <c r="C25" s="11"/>
    </row>
    <row r="26" spans="2:4" x14ac:dyDescent="0.2">
      <c r="B26" s="17"/>
      <c r="C26" s="44"/>
    </row>
    <row r="27" spans="2:4" x14ac:dyDescent="0.2">
      <c r="B27" s="17" t="s">
        <v>181</v>
      </c>
      <c r="C27" s="11"/>
    </row>
    <row r="28" spans="2:4" x14ac:dyDescent="0.2">
      <c r="B28" s="5"/>
      <c r="C28" s="17"/>
    </row>
    <row r="29" spans="2:4" ht="14.25" x14ac:dyDescent="0.2">
      <c r="B29" s="26" t="s">
        <v>79</v>
      </c>
      <c r="C29" s="11"/>
      <c r="D29" s="41" t="s">
        <v>180</v>
      </c>
    </row>
    <row r="30" spans="2:4" x14ac:dyDescent="0.2">
      <c r="B30" s="17" t="s">
        <v>80</v>
      </c>
      <c r="C30" s="16"/>
    </row>
    <row r="31" spans="2:4" x14ac:dyDescent="0.2">
      <c r="B31" s="17" t="s">
        <v>81</v>
      </c>
      <c r="C31" s="11"/>
      <c r="D31" s="41" t="s">
        <v>177</v>
      </c>
    </row>
    <row r="32" spans="2:4" x14ac:dyDescent="0.2">
      <c r="B32" s="5"/>
    </row>
    <row r="33" spans="2:5" s="3" customFormat="1" ht="15.75" customHeight="1" x14ac:dyDescent="0.25">
      <c r="B33" s="43" t="s">
        <v>82</v>
      </c>
      <c r="C33" s="43" t="s">
        <v>83</v>
      </c>
      <c r="D33" s="43" t="s">
        <v>84</v>
      </c>
      <c r="E33" s="43" t="s">
        <v>158</v>
      </c>
    </row>
    <row r="34" spans="2:5" x14ac:dyDescent="0.2">
      <c r="B34" s="24" t="s">
        <v>90</v>
      </c>
      <c r="C34" s="17"/>
      <c r="D34" s="12"/>
      <c r="E34" s="12"/>
    </row>
    <row r="35" spans="2:5" x14ac:dyDescent="0.2">
      <c r="B35" s="10"/>
      <c r="C35" s="10"/>
      <c r="D35" s="11"/>
      <c r="E35" s="11"/>
    </row>
    <row r="36" spans="2:5" ht="15" x14ac:dyDescent="0.25">
      <c r="B36" s="5"/>
      <c r="C36" s="42" t="s">
        <v>178</v>
      </c>
      <c r="D36" s="30"/>
      <c r="E36" s="31"/>
    </row>
    <row r="37" spans="2:5" x14ac:dyDescent="0.2">
      <c r="B37" s="24" t="s">
        <v>89</v>
      </c>
      <c r="C37" s="17"/>
      <c r="D37" s="12"/>
      <c r="E37" s="12"/>
    </row>
    <row r="38" spans="2:5" x14ac:dyDescent="0.2">
      <c r="B38" s="10"/>
      <c r="C38" s="10"/>
      <c r="D38" s="11"/>
      <c r="E38" s="11"/>
    </row>
    <row r="39" spans="2:5" ht="13.5" customHeight="1" x14ac:dyDescent="0.25">
      <c r="B39" s="5"/>
      <c r="C39" s="42" t="s">
        <v>179</v>
      </c>
      <c r="D39" s="30"/>
      <c r="E39" s="31"/>
    </row>
    <row r="40" spans="2:5" x14ac:dyDescent="0.2">
      <c r="B40" s="24" t="s">
        <v>88</v>
      </c>
      <c r="C40" s="17"/>
      <c r="D40" s="12"/>
      <c r="E40" s="12"/>
    </row>
    <row r="41" spans="2:5" x14ac:dyDescent="0.2">
      <c r="B41" s="10"/>
      <c r="C41" s="10"/>
      <c r="D41" s="11"/>
      <c r="E41" s="11"/>
    </row>
    <row r="42" spans="2:5" x14ac:dyDescent="0.2">
      <c r="B42" s="10"/>
      <c r="C42" s="10"/>
      <c r="D42" s="11"/>
      <c r="E42" s="11"/>
    </row>
    <row r="43" spans="2:5" x14ac:dyDescent="0.2">
      <c r="B43" s="10"/>
      <c r="C43" s="10"/>
      <c r="D43" s="11"/>
      <c r="E43" s="11"/>
    </row>
    <row r="44" spans="2:5" x14ac:dyDescent="0.2">
      <c r="B44" s="10"/>
      <c r="C44" s="10"/>
      <c r="D44" s="11"/>
      <c r="E44" s="11"/>
    </row>
    <row r="45" spans="2:5" x14ac:dyDescent="0.2">
      <c r="B45" s="10"/>
      <c r="C45" s="10"/>
      <c r="D45" s="11"/>
      <c r="E45" s="11"/>
    </row>
    <row r="46" spans="2:5" x14ac:dyDescent="0.2">
      <c r="B46" s="24" t="s">
        <v>87</v>
      </c>
      <c r="C46" s="17"/>
      <c r="D46" s="12"/>
      <c r="E46" s="12"/>
    </row>
    <row r="47" spans="2:5" x14ac:dyDescent="0.2">
      <c r="B47" s="10"/>
      <c r="C47" s="10"/>
      <c r="D47" s="11"/>
      <c r="E47" s="11"/>
    </row>
    <row r="48" spans="2:5" x14ac:dyDescent="0.2">
      <c r="B48" s="10"/>
      <c r="C48" s="10"/>
      <c r="D48" s="11"/>
      <c r="E48" s="11"/>
    </row>
    <row r="49" spans="2:5" x14ac:dyDescent="0.2">
      <c r="B49" s="10"/>
      <c r="C49" s="10"/>
      <c r="D49" s="11"/>
      <c r="E49" s="11"/>
    </row>
    <row r="50" spans="2:5" x14ac:dyDescent="0.2">
      <c r="B50" s="10"/>
      <c r="C50" s="10"/>
      <c r="D50" s="11"/>
      <c r="E50" s="11"/>
    </row>
    <row r="51" spans="2:5" x14ac:dyDescent="0.2">
      <c r="B51" s="10"/>
      <c r="C51" s="10"/>
      <c r="D51" s="11"/>
      <c r="E51" s="11"/>
    </row>
    <row r="52" spans="2:5" x14ac:dyDescent="0.2">
      <c r="B52" s="24" t="s">
        <v>162</v>
      </c>
      <c r="C52" s="17"/>
      <c r="D52" s="12"/>
      <c r="E52" s="12"/>
    </row>
    <row r="53" spans="2:5" x14ac:dyDescent="0.2">
      <c r="B53" s="10"/>
      <c r="C53" s="10"/>
      <c r="D53" s="11"/>
      <c r="E53" s="11"/>
    </row>
    <row r="54" spans="2:5" ht="15" x14ac:dyDescent="0.25">
      <c r="B54" s="5"/>
      <c r="C54" s="19" t="s">
        <v>86</v>
      </c>
      <c r="D54" s="30"/>
      <c r="E54" s="31"/>
    </row>
    <row r="55" spans="2:5" x14ac:dyDescent="0.2">
      <c r="B55" s="10"/>
      <c r="C55" s="10"/>
      <c r="D55" s="11"/>
      <c r="E55" s="11"/>
    </row>
    <row r="56" spans="2:5" x14ac:dyDescent="0.2">
      <c r="B56" s="10"/>
      <c r="C56" s="10"/>
      <c r="D56" s="11"/>
      <c r="E56" s="11"/>
    </row>
    <row r="57" spans="2:5" x14ac:dyDescent="0.2">
      <c r="B57" s="10"/>
      <c r="C57" s="10"/>
      <c r="D57" s="11"/>
      <c r="E57" s="11"/>
    </row>
    <row r="58" spans="2:5" x14ac:dyDescent="0.2">
      <c r="B58" s="10"/>
      <c r="C58" s="10"/>
      <c r="D58" s="11"/>
      <c r="E58" s="11"/>
    </row>
    <row r="59" spans="2:5" x14ac:dyDescent="0.2">
      <c r="B59" s="10"/>
      <c r="C59" s="10"/>
      <c r="D59" s="11"/>
      <c r="E59" s="11"/>
    </row>
    <row r="60" spans="2:5" x14ac:dyDescent="0.2">
      <c r="B60" s="24" t="s">
        <v>161</v>
      </c>
      <c r="C60" s="17"/>
      <c r="D60" s="12"/>
      <c r="E60" s="12"/>
    </row>
    <row r="61" spans="2:5" x14ac:dyDescent="0.2">
      <c r="B61" s="10"/>
      <c r="C61" s="10"/>
      <c r="D61" s="11"/>
      <c r="E61" s="11"/>
    </row>
    <row r="62" spans="2:5" ht="15" x14ac:dyDescent="0.25">
      <c r="B62" s="5"/>
      <c r="C62" s="19" t="s">
        <v>86</v>
      </c>
      <c r="D62" s="30"/>
      <c r="E62" s="31"/>
    </row>
    <row r="63" spans="2:5" x14ac:dyDescent="0.2">
      <c r="B63" s="10"/>
      <c r="C63" s="10"/>
      <c r="D63" s="11"/>
      <c r="E63" s="11"/>
    </row>
    <row r="64" spans="2:5" x14ac:dyDescent="0.2">
      <c r="B64" s="10"/>
      <c r="C64" s="10"/>
      <c r="D64" s="11"/>
      <c r="E64" s="11"/>
    </row>
    <row r="65" spans="2:5" x14ac:dyDescent="0.2">
      <c r="B65" s="10"/>
      <c r="C65" s="10"/>
      <c r="D65" s="11"/>
      <c r="E65" s="11"/>
    </row>
    <row r="66" spans="2:5" x14ac:dyDescent="0.2">
      <c r="B66" s="10"/>
      <c r="C66" s="10"/>
      <c r="D66" s="11"/>
      <c r="E66" s="11"/>
    </row>
    <row r="67" spans="2:5" x14ac:dyDescent="0.2">
      <c r="B67" s="10"/>
      <c r="C67" s="10"/>
      <c r="D67" s="11"/>
      <c r="E67" s="11"/>
    </row>
    <row r="68" spans="2:5" x14ac:dyDescent="0.2">
      <c r="B68" s="24" t="s">
        <v>160</v>
      </c>
      <c r="C68" s="17"/>
      <c r="D68" s="12"/>
      <c r="E68" s="12"/>
    </row>
    <row r="69" spans="2:5" x14ac:dyDescent="0.2">
      <c r="B69" s="10"/>
      <c r="C69" s="10"/>
      <c r="D69" s="11"/>
      <c r="E69" s="11"/>
    </row>
    <row r="70" spans="2:5" ht="15" x14ac:dyDescent="0.25">
      <c r="B70" s="5"/>
      <c r="C70" s="19" t="s">
        <v>86</v>
      </c>
      <c r="D70" s="30"/>
      <c r="E70" s="31"/>
    </row>
    <row r="71" spans="2:5" x14ac:dyDescent="0.2">
      <c r="B71" s="10"/>
      <c r="C71" s="10"/>
      <c r="D71" s="11"/>
      <c r="E71" s="11"/>
    </row>
    <row r="72" spans="2:5" x14ac:dyDescent="0.2">
      <c r="B72" s="10"/>
      <c r="C72" s="10"/>
      <c r="D72" s="11"/>
      <c r="E72" s="11"/>
    </row>
    <row r="73" spans="2:5" x14ac:dyDescent="0.2">
      <c r="B73" s="10"/>
      <c r="C73" s="10"/>
      <c r="D73" s="11"/>
      <c r="E73" s="11"/>
    </row>
    <row r="74" spans="2:5" x14ac:dyDescent="0.2">
      <c r="B74" s="10"/>
      <c r="C74" s="10"/>
      <c r="D74" s="11"/>
      <c r="E74" s="11"/>
    </row>
    <row r="75" spans="2:5" x14ac:dyDescent="0.2">
      <c r="B75" s="10"/>
      <c r="C75" s="10"/>
      <c r="D75" s="11"/>
      <c r="E75" s="11"/>
    </row>
    <row r="76" spans="2:5" x14ac:dyDescent="0.2">
      <c r="B76" s="24" t="s">
        <v>159</v>
      </c>
      <c r="C76" s="17"/>
      <c r="D76" s="12"/>
      <c r="E76" s="12"/>
    </row>
    <row r="77" spans="2:5" x14ac:dyDescent="0.2">
      <c r="B77" s="10"/>
      <c r="C77" s="10"/>
      <c r="D77" s="11"/>
      <c r="E77" s="11"/>
    </row>
    <row r="78" spans="2:5" ht="15" x14ac:dyDescent="0.25">
      <c r="B78" s="5"/>
      <c r="C78" s="19" t="s">
        <v>86</v>
      </c>
      <c r="D78" s="30"/>
      <c r="E78" s="31"/>
    </row>
    <row r="79" spans="2:5" x14ac:dyDescent="0.2">
      <c r="B79" s="10"/>
      <c r="C79" s="10"/>
      <c r="D79" s="11"/>
      <c r="E79" s="11"/>
    </row>
    <row r="80" spans="2:5" x14ac:dyDescent="0.2">
      <c r="B80" s="10"/>
      <c r="C80" s="10"/>
      <c r="D80" s="11"/>
      <c r="E80" s="11"/>
    </row>
    <row r="81" spans="2:5" x14ac:dyDescent="0.2">
      <c r="B81" s="10"/>
      <c r="C81" s="10"/>
      <c r="D81" s="11"/>
      <c r="E81" s="11"/>
    </row>
    <row r="82" spans="2:5" x14ac:dyDescent="0.2">
      <c r="B82" s="10"/>
      <c r="C82" s="10"/>
      <c r="D82" s="11"/>
      <c r="E82" s="11"/>
    </row>
    <row r="83" spans="2:5" x14ac:dyDescent="0.2">
      <c r="B83" s="10"/>
      <c r="C83" s="10"/>
      <c r="D83" s="11"/>
      <c r="E83" s="11"/>
    </row>
    <row r="84" spans="2:5" x14ac:dyDescent="0.2">
      <c r="B84" s="5"/>
      <c r="C84" s="5"/>
      <c r="D84" s="12"/>
    </row>
    <row r="85" spans="2:5" x14ac:dyDescent="0.2">
      <c r="B85" s="17"/>
      <c r="C85" s="29" t="s">
        <v>163</v>
      </c>
      <c r="D85" s="11"/>
    </row>
    <row r="86" spans="2:5" x14ac:dyDescent="0.2">
      <c r="B86" s="5"/>
      <c r="C86" s="5"/>
      <c r="D86" s="12"/>
    </row>
    <row r="87" spans="2:5" ht="15" x14ac:dyDescent="0.25">
      <c r="B87" s="6" t="s">
        <v>91</v>
      </c>
      <c r="C87" s="5"/>
      <c r="D87" s="12"/>
    </row>
    <row r="88" spans="2:5" x14ac:dyDescent="0.2">
      <c r="B88" s="5" t="s">
        <v>92</v>
      </c>
      <c r="C88" s="17"/>
      <c r="D88" s="12"/>
      <c r="E88" s="12"/>
    </row>
    <row r="89" spans="2:5" s="3" customFormat="1" x14ac:dyDescent="0.25">
      <c r="B89" s="18" t="s">
        <v>82</v>
      </c>
      <c r="C89" s="18" t="s">
        <v>93</v>
      </c>
      <c r="D89" s="18" t="s">
        <v>84</v>
      </c>
      <c r="E89" s="18" t="s">
        <v>158</v>
      </c>
    </row>
    <row r="90" spans="2:5" x14ac:dyDescent="0.2">
      <c r="B90" s="8"/>
      <c r="C90" s="10"/>
      <c r="D90" s="11"/>
      <c r="E90" s="11"/>
    </row>
    <row r="91" spans="2:5" x14ac:dyDescent="0.2">
      <c r="B91" s="8"/>
      <c r="C91" s="10"/>
      <c r="D91" s="11"/>
      <c r="E91" s="11"/>
    </row>
    <row r="92" spans="2:5" x14ac:dyDescent="0.2">
      <c r="B92" s="8"/>
      <c r="C92" s="10"/>
      <c r="D92" s="11"/>
      <c r="E92" s="11"/>
    </row>
    <row r="93" spans="2:5" x14ac:dyDescent="0.2">
      <c r="B93" s="8"/>
      <c r="C93" s="10"/>
      <c r="D93" s="11"/>
      <c r="E93" s="11"/>
    </row>
    <row r="94" spans="2:5" x14ac:dyDescent="0.2">
      <c r="B94" s="8"/>
      <c r="C94" s="10"/>
      <c r="D94" s="11"/>
      <c r="E94" s="11"/>
    </row>
    <row r="95" spans="2:5" x14ac:dyDescent="0.2">
      <c r="B95" s="8"/>
      <c r="C95" s="10"/>
      <c r="D95" s="11"/>
      <c r="E95" s="11"/>
    </row>
    <row r="96" spans="2:5" x14ac:dyDescent="0.2">
      <c r="B96" s="8"/>
      <c r="C96" s="10"/>
      <c r="D96" s="11"/>
      <c r="E96" s="11"/>
    </row>
    <row r="97" spans="2:5" x14ac:dyDescent="0.2">
      <c r="B97" s="8"/>
      <c r="C97" s="10"/>
      <c r="D97" s="11"/>
      <c r="E97" s="11"/>
    </row>
    <row r="98" spans="2:5" x14ac:dyDescent="0.2">
      <c r="B98" s="5" t="s">
        <v>94</v>
      </c>
      <c r="C98" s="17"/>
      <c r="D98" s="12"/>
      <c r="E98" s="12"/>
    </row>
    <row r="99" spans="2:5" s="3" customFormat="1" x14ac:dyDescent="0.25">
      <c r="B99" s="18" t="s">
        <v>82</v>
      </c>
      <c r="C99" s="18" t="s">
        <v>93</v>
      </c>
      <c r="D99" s="18" t="s">
        <v>84</v>
      </c>
      <c r="E99" s="18" t="s">
        <v>158</v>
      </c>
    </row>
    <row r="100" spans="2:5" x14ac:dyDescent="0.2">
      <c r="B100" s="8"/>
      <c r="C100" s="10"/>
      <c r="D100" s="11"/>
      <c r="E100" s="11"/>
    </row>
    <row r="101" spans="2:5" x14ac:dyDescent="0.2">
      <c r="B101" s="8"/>
      <c r="C101" s="10"/>
      <c r="D101" s="11"/>
      <c r="E101" s="11"/>
    </row>
    <row r="102" spans="2:5" x14ac:dyDescent="0.2">
      <c r="B102" s="8"/>
      <c r="C102" s="10"/>
      <c r="D102" s="11"/>
      <c r="E102" s="11"/>
    </row>
    <row r="103" spans="2:5" x14ac:dyDescent="0.2">
      <c r="B103" s="8"/>
      <c r="C103" s="10"/>
      <c r="D103" s="11"/>
      <c r="E103" s="11"/>
    </row>
    <row r="104" spans="2:5" x14ac:dyDescent="0.2">
      <c r="B104" s="8"/>
      <c r="C104" s="10"/>
      <c r="D104" s="11"/>
      <c r="E104" s="11"/>
    </row>
    <row r="105" spans="2:5" x14ac:dyDescent="0.2">
      <c r="B105" s="8"/>
      <c r="C105" s="10"/>
      <c r="D105" s="11"/>
      <c r="E105" s="11"/>
    </row>
    <row r="106" spans="2:5" x14ac:dyDescent="0.2">
      <c r="B106" s="8"/>
      <c r="C106" s="10"/>
      <c r="D106" s="11"/>
      <c r="E106" s="11"/>
    </row>
    <row r="107" spans="2:5" x14ac:dyDescent="0.2">
      <c r="B107" s="8"/>
      <c r="C107" s="10"/>
      <c r="D107" s="11"/>
      <c r="E107" s="11"/>
    </row>
    <row r="108" spans="2:5" x14ac:dyDescent="0.2">
      <c r="B108" s="5" t="s">
        <v>95</v>
      </c>
      <c r="C108" s="17"/>
      <c r="D108" s="12"/>
      <c r="E108" s="12"/>
    </row>
    <row r="109" spans="2:5" s="3" customFormat="1" x14ac:dyDescent="0.25">
      <c r="B109" s="18" t="s">
        <v>82</v>
      </c>
      <c r="C109" s="18" t="s">
        <v>96</v>
      </c>
      <c r="D109" s="18" t="s">
        <v>84</v>
      </c>
      <c r="E109" s="18" t="s">
        <v>158</v>
      </c>
    </row>
    <row r="110" spans="2:5" x14ac:dyDescent="0.2">
      <c r="B110" s="8"/>
      <c r="C110" s="10"/>
      <c r="D110" s="11"/>
      <c r="E110" s="11"/>
    </row>
    <row r="111" spans="2:5" x14ac:dyDescent="0.2">
      <c r="B111" s="8"/>
      <c r="C111" s="10"/>
      <c r="D111" s="11"/>
      <c r="E111" s="11"/>
    </row>
    <row r="112" spans="2:5" x14ac:dyDescent="0.2">
      <c r="B112" s="8"/>
      <c r="C112" s="10"/>
      <c r="D112" s="11"/>
      <c r="E112" s="11"/>
    </row>
    <row r="113" spans="2:5" x14ac:dyDescent="0.2">
      <c r="B113" s="8"/>
      <c r="C113" s="10"/>
      <c r="D113" s="11"/>
      <c r="E113" s="11"/>
    </row>
    <row r="114" spans="2:5" x14ac:dyDescent="0.2">
      <c r="B114" s="8"/>
      <c r="C114" s="10"/>
      <c r="D114" s="11"/>
      <c r="E114" s="11"/>
    </row>
    <row r="115" spans="2:5" x14ac:dyDescent="0.2">
      <c r="B115" s="5"/>
      <c r="C115" s="17"/>
      <c r="D115" s="12"/>
      <c r="E115" s="12"/>
    </row>
    <row r="116" spans="2:5" s="3" customFormat="1" x14ac:dyDescent="0.25">
      <c r="B116" s="18" t="s">
        <v>82</v>
      </c>
      <c r="C116" s="18" t="s">
        <v>83</v>
      </c>
      <c r="D116" s="18" t="s">
        <v>84</v>
      </c>
      <c r="E116" s="18" t="s">
        <v>158</v>
      </c>
    </row>
    <row r="117" spans="2:5" x14ac:dyDescent="0.2">
      <c r="B117" s="5" t="s">
        <v>97</v>
      </c>
      <c r="C117" s="17"/>
      <c r="D117" s="12"/>
      <c r="E117" s="12"/>
    </row>
    <row r="118" spans="2:5" x14ac:dyDescent="0.2">
      <c r="B118" s="8"/>
      <c r="C118" s="10"/>
      <c r="D118" s="11"/>
      <c r="E118" s="11"/>
    </row>
    <row r="119" spans="2:5" x14ac:dyDescent="0.2">
      <c r="B119" s="5" t="s">
        <v>98</v>
      </c>
      <c r="C119" s="17"/>
      <c r="D119" s="12"/>
      <c r="E119" s="12"/>
    </row>
    <row r="120" spans="2:5" x14ac:dyDescent="0.2">
      <c r="B120" s="8"/>
      <c r="C120" s="10"/>
      <c r="D120" s="11"/>
      <c r="E120" s="11"/>
    </row>
    <row r="121" spans="2:5" x14ac:dyDescent="0.2">
      <c r="B121" s="5" t="s">
        <v>99</v>
      </c>
      <c r="C121" s="17"/>
      <c r="D121" s="12"/>
      <c r="E121" s="12"/>
    </row>
    <row r="122" spans="2:5" x14ac:dyDescent="0.2">
      <c r="B122" s="8"/>
      <c r="C122" s="10"/>
      <c r="D122" s="11"/>
      <c r="E122" s="11"/>
    </row>
    <row r="123" spans="2:5" x14ac:dyDescent="0.2">
      <c r="B123" s="5" t="s">
        <v>100</v>
      </c>
      <c r="C123" s="17"/>
      <c r="D123" s="12"/>
      <c r="E123" s="12"/>
    </row>
    <row r="124" spans="2:5" x14ac:dyDescent="0.2">
      <c r="B124" s="8"/>
      <c r="C124" s="10"/>
      <c r="D124" s="11"/>
      <c r="E124" s="11"/>
    </row>
    <row r="125" spans="2:5" x14ac:dyDescent="0.2">
      <c r="B125" s="5"/>
      <c r="C125" s="17"/>
      <c r="D125" s="12"/>
      <c r="E125" s="12"/>
    </row>
    <row r="126" spans="2:5" x14ac:dyDescent="0.2">
      <c r="B126" s="5"/>
      <c r="C126" s="5"/>
    </row>
    <row r="127" spans="2:5" x14ac:dyDescent="0.2">
      <c r="C127" s="5" t="s">
        <v>101</v>
      </c>
      <c r="D127" s="11"/>
    </row>
    <row r="128" spans="2:5" x14ac:dyDescent="0.2">
      <c r="C128" s="5" t="s">
        <v>68</v>
      </c>
      <c r="D128" s="16"/>
    </row>
  </sheetData>
  <protectedRanges>
    <protectedRange sqref="D127:D128" name="Rango3"/>
    <protectedRange sqref="C8 C12 C29:C31 C16:C19 C22:C27" name="Rango1"/>
    <protectedRange sqref="B35:E35 B38:E38 B53:E53 D85 D78:E78 D70:E70 D62:E62 D54:E54 D39:E39 D36:E36 B118:E118 B120:E120 B122:E122 B124:E124 B110:E114 B100:E107 B90:E97 B41:E45 B47:E51 B61:E61 B69:E69 B77:E77 B55:E59 B63:E67 B71:E75 B79:E83" name="Rango2"/>
  </protectedRanges>
  <mergeCells count="7">
    <mergeCell ref="D78:E78"/>
    <mergeCell ref="A1:B1"/>
    <mergeCell ref="D36:E36"/>
    <mergeCell ref="D39:E39"/>
    <mergeCell ref="D54:E54"/>
    <mergeCell ref="D62:E62"/>
    <mergeCell ref="D70:E70"/>
  </mergeCells>
  <conditionalFormatting sqref="B9:C9">
    <cfRule type="expression" dxfId="1" priority="2">
      <formula>$C$8="Capilla"</formula>
    </cfRule>
  </conditionalFormatting>
  <conditionalFormatting sqref="C9">
    <cfRule type="expression" dxfId="0" priority="1">
      <formula>$C$8="Capilla"</formula>
    </cfRule>
  </conditionalFormatting>
  <dataValidations count="4">
    <dataValidation type="list" allowBlank="1" showInputMessage="1" showErrorMessage="1" sqref="C8" xr:uid="{00000000-0002-0000-0000-000000000000}">
      <formula1>"Parroquia,Capilla"</formula1>
    </dataValidation>
    <dataValidation type="list" allowBlank="1" showInputMessage="1" showErrorMessage="1" sqref="C31" xr:uid="{00000000-0002-0000-0000-000001000000}">
      <formula1>"Si,No"</formula1>
    </dataValidation>
    <dataValidation type="list" allowBlank="1" showInputMessage="1" showErrorMessage="1" sqref="C16" xr:uid="{00000000-0002-0000-0000-000002000000}">
      <formula1>lNComunidad</formula1>
    </dataValidation>
    <dataValidation type="list" allowBlank="1" showInputMessage="1" showErrorMessage="1" sqref="C29" xr:uid="{00000000-0002-0000-0000-000003000000}">
      <formula1>lPasos</formula1>
    </dataValidation>
  </dataValidations>
  <pageMargins left="0.7" right="0.7" top="0.75" bottom="0.75" header="0.3" footer="0.3"/>
  <pageSetup paperSize="9" scale="62" orientation="portrait" r:id="rId1"/>
  <rowBreaks count="1" manualBreakCount="1">
    <brk id="75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25"/>
  <sheetViews>
    <sheetView view="pageBreakPreview" zoomScale="60" zoomScaleNormal="100" workbookViewId="0">
      <selection activeCell="C15" sqref="C15"/>
    </sheetView>
  </sheetViews>
  <sheetFormatPr baseColWidth="10" defaultColWidth="11.42578125" defaultRowHeight="15" x14ac:dyDescent="0.25"/>
  <cols>
    <col min="1" max="1" width="4.42578125" style="1" customWidth="1"/>
    <col min="2" max="2" width="33.85546875" style="1" customWidth="1"/>
    <col min="3" max="3" width="33.28515625" style="1" customWidth="1"/>
    <col min="4" max="4" width="18" style="1" customWidth="1"/>
    <col min="5" max="5" width="22.42578125" style="1" customWidth="1"/>
    <col min="6" max="16384" width="11.42578125" style="1"/>
  </cols>
  <sheetData>
    <row r="1" spans="1:5" ht="34.5" customHeight="1" x14ac:dyDescent="0.25">
      <c r="A1" s="38" t="s">
        <v>67</v>
      </c>
      <c r="B1" s="39"/>
      <c r="C1" s="14"/>
      <c r="D1" s="14"/>
      <c r="E1" s="14"/>
    </row>
    <row r="2" spans="1:5" ht="18" x14ac:dyDescent="0.25">
      <c r="A2" s="13"/>
      <c r="B2" s="9"/>
      <c r="C2" s="2"/>
      <c r="D2" s="2"/>
    </row>
    <row r="3" spans="1:5" x14ac:dyDescent="0.25">
      <c r="A3" s="13"/>
      <c r="B3" s="6" t="str">
        <f>UPPER('Registrar aquí'!C8)</f>
        <v>PARROQUIA</v>
      </c>
      <c r="C3" s="2"/>
      <c r="D3" s="2"/>
    </row>
    <row r="4" spans="1:5" x14ac:dyDescent="0.25">
      <c r="A4" s="13"/>
      <c r="B4" s="35" t="str">
        <f>IF('Registrar aquí'!C8="Parroquia","Nombre: "&amp;'Registrar aquí'!C12,"Capilla: "&amp;'Registrar aquí'!C12&amp;" (Depende de la parroquia "&amp;'Registrar aquí'!C9&amp;")")</f>
        <v xml:space="preserve">Nombre: </v>
      </c>
      <c r="C4" s="36"/>
      <c r="D4" s="36"/>
      <c r="E4" s="37"/>
    </row>
    <row r="5" spans="1:5" x14ac:dyDescent="0.25">
      <c r="A5" s="13"/>
      <c r="B5" s="5"/>
      <c r="C5" s="2"/>
      <c r="D5" s="2"/>
    </row>
    <row r="6" spans="1:5" x14ac:dyDescent="0.25">
      <c r="A6" s="13"/>
      <c r="B6" s="6" t="s">
        <v>69</v>
      </c>
      <c r="C6" s="2"/>
      <c r="D6" s="2"/>
    </row>
    <row r="7" spans="1:5" x14ac:dyDescent="0.25">
      <c r="A7" s="13"/>
      <c r="B7" s="22" t="s">
        <v>153</v>
      </c>
      <c r="C7" s="11" t="e">
        <f>VLOOKUP('Registrar aquí'!C16,Parámetros!E2:$G$26,3,FALSE)</f>
        <v>#N/A</v>
      </c>
      <c r="D7" s="2"/>
    </row>
    <row r="8" spans="1:5" ht="6.75" customHeight="1" x14ac:dyDescent="0.25">
      <c r="A8" s="13"/>
      <c r="B8" s="22"/>
      <c r="C8" s="23"/>
      <c r="D8" s="2"/>
    </row>
    <row r="9" spans="1:5" x14ac:dyDescent="0.25">
      <c r="A9" s="13"/>
      <c r="B9" s="22" t="s">
        <v>154</v>
      </c>
      <c r="C9" s="11">
        <f>'Registrar aquí'!C21</f>
        <v>0</v>
      </c>
      <c r="D9" s="2"/>
    </row>
    <row r="10" spans="1:5" x14ac:dyDescent="0.25">
      <c r="A10" s="13"/>
      <c r="B10" s="22" t="s">
        <v>70</v>
      </c>
      <c r="C10" s="11">
        <f>'Registrar aquí'!C22</f>
        <v>0</v>
      </c>
      <c r="D10" s="2"/>
    </row>
    <row r="11" spans="1:5" x14ac:dyDescent="0.25">
      <c r="A11" s="13"/>
      <c r="B11" s="22" t="s">
        <v>71</v>
      </c>
      <c r="C11" s="11">
        <f>'Registrar aquí'!C23</f>
        <v>0</v>
      </c>
      <c r="D11" s="2"/>
    </row>
    <row r="12" spans="1:5" x14ac:dyDescent="0.25">
      <c r="A12" s="13"/>
      <c r="B12" s="22" t="s">
        <v>72</v>
      </c>
      <c r="C12" s="11">
        <f>'Registrar aquí'!C24</f>
        <v>0</v>
      </c>
      <c r="D12" s="2"/>
    </row>
    <row r="13" spans="1:5" x14ac:dyDescent="0.25">
      <c r="A13" s="13"/>
      <c r="B13" s="22" t="s">
        <v>73</v>
      </c>
      <c r="C13" s="11">
        <f>'Registrar aquí'!C25</f>
        <v>0</v>
      </c>
      <c r="D13" s="2"/>
    </row>
    <row r="14" spans="1:5" x14ac:dyDescent="0.25">
      <c r="A14" s="13"/>
      <c r="B14" s="6"/>
      <c r="C14" s="2"/>
      <c r="D14" s="2"/>
    </row>
    <row r="15" spans="1:5" x14ac:dyDescent="0.25">
      <c r="A15" s="13"/>
      <c r="B15" s="22" t="s">
        <v>155</v>
      </c>
      <c r="C15" s="11" t="str">
        <f>'Registrar aquí'!C18&amp;"."&amp;'Registrar aquí'!C19</f>
        <v>.</v>
      </c>
      <c r="D15" s="2"/>
    </row>
    <row r="16" spans="1:5" x14ac:dyDescent="0.25">
      <c r="A16" s="13"/>
      <c r="B16" s="22" t="s">
        <v>78</v>
      </c>
      <c r="C16" s="16">
        <f>'Registrar aquí'!C17</f>
        <v>0</v>
      </c>
      <c r="D16" s="2"/>
    </row>
    <row r="17" spans="1:5" x14ac:dyDescent="0.25">
      <c r="A17" s="13"/>
      <c r="B17" s="22" t="s">
        <v>156</v>
      </c>
      <c r="C17" s="11">
        <f>'Registrar aquí'!C29</f>
        <v>0</v>
      </c>
      <c r="D17" s="2"/>
    </row>
    <row r="18" spans="1:5" x14ac:dyDescent="0.25">
      <c r="A18" s="13"/>
      <c r="B18" s="22" t="s">
        <v>80</v>
      </c>
      <c r="C18" s="11" t="str">
        <f>TEXT('Registrar aquí'!C30,"dd/mm/yyyy")&amp;". "&amp;IF('Registrar aquí'!C31="Si","Hubo rito.","No hubo rito.")</f>
        <v>00/01/1900. No hubo rito.</v>
      </c>
      <c r="D18" s="2"/>
    </row>
    <row r="19" spans="1:5" x14ac:dyDescent="0.25">
      <c r="A19" s="13"/>
      <c r="B19" s="22"/>
      <c r="C19" s="12"/>
      <c r="D19" s="2"/>
      <c r="E19" s="22"/>
    </row>
    <row r="20" spans="1:5" x14ac:dyDescent="0.25">
      <c r="A20" s="13"/>
      <c r="B20" s="6" t="s">
        <v>152</v>
      </c>
      <c r="C20" s="2"/>
      <c r="D20" s="2"/>
      <c r="E20" s="2"/>
    </row>
    <row r="21" spans="1:5" x14ac:dyDescent="0.25">
      <c r="A21" s="13"/>
      <c r="B21" s="18" t="s">
        <v>82</v>
      </c>
      <c r="C21" s="18" t="s">
        <v>83</v>
      </c>
      <c r="D21" s="18" t="s">
        <v>84</v>
      </c>
      <c r="E21" s="18" t="s">
        <v>85</v>
      </c>
    </row>
    <row r="22" spans="1:5" x14ac:dyDescent="0.25">
      <c r="A22" s="13"/>
      <c r="B22" s="5" t="s">
        <v>90</v>
      </c>
      <c r="C22" s="17"/>
      <c r="D22" s="12"/>
      <c r="E22" s="12"/>
    </row>
    <row r="23" spans="1:5" x14ac:dyDescent="0.25">
      <c r="A23" s="13"/>
      <c r="B23" s="10" t="str">
        <f>IF(ISBLANK('Registrar aquí'!B35),"",'Registrar aquí'!B35)</f>
        <v/>
      </c>
      <c r="C23" s="10" t="str">
        <f>IF(ISBLANK('Registrar aquí'!C35),"",'Registrar aquí'!C35)</f>
        <v/>
      </c>
      <c r="D23" s="10" t="str">
        <f>IF(ISBLANK('Registrar aquí'!D35),"",'Registrar aquí'!D35)</f>
        <v/>
      </c>
      <c r="E23" s="10" t="str">
        <f>IF(ISBLANK('Registrar aquí'!E35),"",'Registrar aquí'!E35)</f>
        <v/>
      </c>
    </row>
    <row r="24" spans="1:5" x14ac:dyDescent="0.25">
      <c r="A24" s="13"/>
      <c r="B24" s="5"/>
      <c r="C24" s="19" t="s">
        <v>86</v>
      </c>
      <c r="D24" s="34" t="str">
        <f>IF(ISBLANK('Registrar aquí'!D36),"",'Registrar aquí'!D36)</f>
        <v/>
      </c>
      <c r="E24" s="31"/>
    </row>
    <row r="25" spans="1:5" x14ac:dyDescent="0.25">
      <c r="A25" s="13"/>
      <c r="B25" s="5" t="s">
        <v>89</v>
      </c>
      <c r="C25" s="17"/>
      <c r="D25" s="12"/>
      <c r="E25" s="12"/>
    </row>
    <row r="26" spans="1:5" x14ac:dyDescent="0.25">
      <c r="A26" s="13"/>
      <c r="B26" s="10" t="str">
        <f>IF(ISBLANK('Registrar aquí'!B38),"",'Registrar aquí'!B38)</f>
        <v/>
      </c>
      <c r="C26" s="10" t="str">
        <f>IF(ISBLANK('Registrar aquí'!C38),"",'Registrar aquí'!C38)</f>
        <v/>
      </c>
      <c r="D26" s="10" t="str">
        <f>IF(ISBLANK('Registrar aquí'!D38),"",'Registrar aquí'!D38)</f>
        <v/>
      </c>
      <c r="E26" s="10" t="str">
        <f>IF(ISBLANK('Registrar aquí'!E38),"",'Registrar aquí'!E38)</f>
        <v/>
      </c>
    </row>
    <row r="27" spans="1:5" x14ac:dyDescent="0.25">
      <c r="A27" s="13"/>
      <c r="B27" s="5"/>
      <c r="C27" s="19" t="s">
        <v>86</v>
      </c>
      <c r="D27" s="34" t="str">
        <f>IF(ISBLANK('Registrar aquí'!D39),"",'Registrar aquí'!D39)</f>
        <v/>
      </c>
      <c r="E27" s="31"/>
    </row>
    <row r="28" spans="1:5" x14ac:dyDescent="0.25">
      <c r="A28" s="13"/>
      <c r="B28" s="5" t="s">
        <v>88</v>
      </c>
      <c r="C28" s="17"/>
      <c r="D28" s="12"/>
      <c r="E28" s="12"/>
    </row>
    <row r="29" spans="1:5" x14ac:dyDescent="0.25">
      <c r="A29" s="13"/>
      <c r="B29" s="10" t="str">
        <f>IF(ISBLANK('Registrar aquí'!B41),"",'Registrar aquí'!B41)</f>
        <v/>
      </c>
      <c r="C29" s="10" t="str">
        <f>IF(ISBLANK('Registrar aquí'!C41),"",'Registrar aquí'!C41)</f>
        <v/>
      </c>
      <c r="D29" s="10" t="str">
        <f>IF(ISBLANK('Registrar aquí'!D41),"",'Registrar aquí'!D41)</f>
        <v/>
      </c>
      <c r="E29" s="10" t="str">
        <f>IF(ISBLANK('Registrar aquí'!E41),"",'Registrar aquí'!E41)</f>
        <v/>
      </c>
    </row>
    <row r="30" spans="1:5" x14ac:dyDescent="0.25">
      <c r="A30" s="13"/>
      <c r="B30" s="10" t="str">
        <f>IF(ISBLANK('Registrar aquí'!B42),"",'Registrar aquí'!B42)</f>
        <v/>
      </c>
      <c r="C30" s="10" t="str">
        <f>IF(ISBLANK('Registrar aquí'!C42),"",'Registrar aquí'!C42)</f>
        <v/>
      </c>
      <c r="D30" s="10" t="str">
        <f>IF(ISBLANK('Registrar aquí'!D42),"",'Registrar aquí'!D42)</f>
        <v/>
      </c>
      <c r="E30" s="10" t="str">
        <f>IF(ISBLANK('Registrar aquí'!E42),"",'Registrar aquí'!E42)</f>
        <v/>
      </c>
    </row>
    <row r="31" spans="1:5" x14ac:dyDescent="0.25">
      <c r="A31" s="13"/>
      <c r="B31" s="10" t="str">
        <f>IF(ISBLANK('Registrar aquí'!B43),"",'Registrar aquí'!B43)</f>
        <v/>
      </c>
      <c r="C31" s="10" t="str">
        <f>IF(ISBLANK('Registrar aquí'!C43),"",'Registrar aquí'!C43)</f>
        <v/>
      </c>
      <c r="D31" s="10" t="str">
        <f>IF(ISBLANK('Registrar aquí'!D43),"",'Registrar aquí'!D43)</f>
        <v/>
      </c>
      <c r="E31" s="10" t="str">
        <f>IF(ISBLANK('Registrar aquí'!E43),"",'Registrar aquí'!E43)</f>
        <v/>
      </c>
    </row>
    <row r="32" spans="1:5" x14ac:dyDescent="0.25">
      <c r="A32" s="13"/>
      <c r="B32" s="10" t="str">
        <f>IF(ISBLANK('Registrar aquí'!B44),"",'Registrar aquí'!B44)</f>
        <v/>
      </c>
      <c r="C32" s="10" t="str">
        <f>IF(ISBLANK('Registrar aquí'!C44),"",'Registrar aquí'!C44)</f>
        <v/>
      </c>
      <c r="D32" s="10" t="str">
        <f>IF(ISBLANK('Registrar aquí'!D44),"",'Registrar aquí'!D44)</f>
        <v/>
      </c>
      <c r="E32" s="10" t="str">
        <f>IF(ISBLANK('Registrar aquí'!E44),"",'Registrar aquí'!E44)</f>
        <v/>
      </c>
    </row>
    <row r="33" spans="1:5" x14ac:dyDescent="0.25">
      <c r="A33" s="13"/>
      <c r="B33" s="10" t="str">
        <f>IF(ISBLANK('Registrar aquí'!B45),"",'Registrar aquí'!B45)</f>
        <v/>
      </c>
      <c r="C33" s="10" t="str">
        <f>IF(ISBLANK('Registrar aquí'!C45),"",'Registrar aquí'!C45)</f>
        <v/>
      </c>
      <c r="D33" s="10" t="str">
        <f>IF(ISBLANK('Registrar aquí'!D45),"",'Registrar aquí'!D45)</f>
        <v/>
      </c>
      <c r="E33" s="10" t="str">
        <f>IF(ISBLANK('Registrar aquí'!E45),"",'Registrar aquí'!E45)</f>
        <v/>
      </c>
    </row>
    <row r="34" spans="1:5" x14ac:dyDescent="0.25">
      <c r="A34" s="13"/>
      <c r="B34" s="5" t="s">
        <v>87</v>
      </c>
      <c r="C34" s="17"/>
      <c r="D34" s="12"/>
      <c r="E34" s="12"/>
    </row>
    <row r="35" spans="1:5" x14ac:dyDescent="0.25">
      <c r="A35" s="13"/>
      <c r="B35" s="10" t="str">
        <f>IF(ISBLANK('Registrar aquí'!B47),"",'Registrar aquí'!B47)</f>
        <v/>
      </c>
      <c r="C35" s="10" t="str">
        <f>IF(ISBLANK('Registrar aquí'!C47),"",'Registrar aquí'!C47)</f>
        <v/>
      </c>
      <c r="D35" s="10" t="str">
        <f>IF(ISBLANK('Registrar aquí'!D47),"",'Registrar aquí'!D47)</f>
        <v/>
      </c>
      <c r="E35" s="10" t="str">
        <f>IF(ISBLANK('Registrar aquí'!E47),"",'Registrar aquí'!E47)</f>
        <v/>
      </c>
    </row>
    <row r="36" spans="1:5" x14ac:dyDescent="0.25">
      <c r="A36" s="13"/>
      <c r="B36" s="10" t="str">
        <f>IF(ISBLANK('Registrar aquí'!B48),"",'Registrar aquí'!B48)</f>
        <v/>
      </c>
      <c r="C36" s="10" t="str">
        <f>IF(ISBLANK('Registrar aquí'!C48),"",'Registrar aquí'!C48)</f>
        <v/>
      </c>
      <c r="D36" s="10" t="str">
        <f>IF(ISBLANK('Registrar aquí'!D48),"",'Registrar aquí'!D48)</f>
        <v/>
      </c>
      <c r="E36" s="10" t="str">
        <f>IF(ISBLANK('Registrar aquí'!E48),"",'Registrar aquí'!E48)</f>
        <v/>
      </c>
    </row>
    <row r="37" spans="1:5" x14ac:dyDescent="0.25">
      <c r="A37" s="13"/>
      <c r="B37" s="10" t="str">
        <f>IF(ISBLANK('Registrar aquí'!B49),"",'Registrar aquí'!B49)</f>
        <v/>
      </c>
      <c r="C37" s="10" t="str">
        <f>IF(ISBLANK('Registrar aquí'!C49),"",'Registrar aquí'!C49)</f>
        <v/>
      </c>
      <c r="D37" s="10" t="str">
        <f>IF(ISBLANK('Registrar aquí'!D49),"",'Registrar aquí'!D49)</f>
        <v/>
      </c>
      <c r="E37" s="10" t="str">
        <f>IF(ISBLANK('Registrar aquí'!E49),"",'Registrar aquí'!E49)</f>
        <v/>
      </c>
    </row>
    <row r="38" spans="1:5" x14ac:dyDescent="0.25">
      <c r="A38" s="13"/>
      <c r="B38" s="10" t="str">
        <f>IF(ISBLANK('Registrar aquí'!B50),"",'Registrar aquí'!B50)</f>
        <v/>
      </c>
      <c r="C38" s="10" t="str">
        <f>IF(ISBLANK('Registrar aquí'!C50),"",'Registrar aquí'!C50)</f>
        <v/>
      </c>
      <c r="D38" s="10" t="str">
        <f>IF(ISBLANK('Registrar aquí'!D50),"",'Registrar aquí'!D50)</f>
        <v/>
      </c>
      <c r="E38" s="10" t="str">
        <f>IF(ISBLANK('Registrar aquí'!E50),"",'Registrar aquí'!E50)</f>
        <v/>
      </c>
    </row>
    <row r="39" spans="1:5" x14ac:dyDescent="0.25">
      <c r="A39" s="13"/>
      <c r="B39" s="10" t="str">
        <f>IF(ISBLANK('Registrar aquí'!B51),"",'Registrar aquí'!B51)</f>
        <v/>
      </c>
      <c r="C39" s="10" t="str">
        <f>IF(ISBLANK('Registrar aquí'!C51),"",'Registrar aquí'!C51)</f>
        <v/>
      </c>
      <c r="D39" s="10" t="str">
        <f>IF(ISBLANK('Registrar aquí'!D51),"",'Registrar aquí'!D51)</f>
        <v/>
      </c>
      <c r="E39" s="10" t="str">
        <f>IF(ISBLANK('Registrar aquí'!E51),"",'Registrar aquí'!E51)</f>
        <v/>
      </c>
    </row>
    <row r="40" spans="1:5" x14ac:dyDescent="0.25">
      <c r="A40" s="13"/>
      <c r="B40" s="5" t="s">
        <v>162</v>
      </c>
      <c r="C40" s="17"/>
      <c r="D40" s="12"/>
      <c r="E40" s="12"/>
    </row>
    <row r="41" spans="1:5" x14ac:dyDescent="0.25">
      <c r="A41" s="13"/>
      <c r="B41" s="10" t="str">
        <f>IF(ISBLANK('Registrar aquí'!B53),"",'Registrar aquí'!B53)</f>
        <v/>
      </c>
      <c r="C41" s="10" t="str">
        <f>IF(ISBLANK('Registrar aquí'!C53),"",'Registrar aquí'!C53)</f>
        <v/>
      </c>
      <c r="D41" s="10" t="str">
        <f>IF(ISBLANK('Registrar aquí'!D53),"",'Registrar aquí'!D53)</f>
        <v/>
      </c>
      <c r="E41" s="10" t="str">
        <f>IF(ISBLANK('Registrar aquí'!E53),"",'Registrar aquí'!E53)</f>
        <v/>
      </c>
    </row>
    <row r="42" spans="1:5" x14ac:dyDescent="0.25">
      <c r="A42" s="15"/>
      <c r="B42" s="5"/>
      <c r="C42" s="19" t="s">
        <v>86</v>
      </c>
      <c r="D42" s="34" t="str">
        <f>IF(ISBLANK('Registrar aquí'!D54),"",'Registrar aquí'!D54)</f>
        <v/>
      </c>
      <c r="E42" s="31"/>
    </row>
    <row r="43" spans="1:5" x14ac:dyDescent="0.25">
      <c r="B43" s="10" t="str">
        <f>IF(ISBLANK('Registrar aquí'!B55),"",'Registrar aquí'!B55)</f>
        <v/>
      </c>
      <c r="C43" s="10" t="str">
        <f>IF(ISBLANK('Registrar aquí'!C55),"",'Registrar aquí'!C55)</f>
        <v/>
      </c>
      <c r="D43" s="10" t="str">
        <f>IF(ISBLANK('Registrar aquí'!D55),"",'Registrar aquí'!D55)</f>
        <v/>
      </c>
      <c r="E43" s="10" t="str">
        <f>IF(ISBLANK('Registrar aquí'!E55),"",'Registrar aquí'!E55)</f>
        <v/>
      </c>
    </row>
    <row r="44" spans="1:5" x14ac:dyDescent="0.25">
      <c r="B44" s="10" t="str">
        <f>IF(ISBLANK('Registrar aquí'!B56),"",'Registrar aquí'!B56)</f>
        <v/>
      </c>
      <c r="C44" s="10" t="str">
        <f>IF(ISBLANK('Registrar aquí'!C56),"",'Registrar aquí'!C56)</f>
        <v/>
      </c>
      <c r="D44" s="10" t="str">
        <f>IF(ISBLANK('Registrar aquí'!D56),"",'Registrar aquí'!D56)</f>
        <v/>
      </c>
      <c r="E44" s="10" t="str">
        <f>IF(ISBLANK('Registrar aquí'!E56),"",'Registrar aquí'!E56)</f>
        <v/>
      </c>
    </row>
    <row r="45" spans="1:5" x14ac:dyDescent="0.25">
      <c r="B45" s="10" t="e">
        <f>IF(ISBLANK('Registrar aquí'!#REF!),"",'Registrar aquí'!#REF!)</f>
        <v>#REF!</v>
      </c>
      <c r="C45" s="10" t="e">
        <f>IF(ISBLANK('Registrar aquí'!#REF!),"",'Registrar aquí'!#REF!)</f>
        <v>#REF!</v>
      </c>
      <c r="D45" s="10" t="e">
        <f>IF(ISBLANK('Registrar aquí'!#REF!),"",'Registrar aquí'!#REF!)</f>
        <v>#REF!</v>
      </c>
      <c r="E45" s="10" t="e">
        <f>IF(ISBLANK('Registrar aquí'!#REF!),"",'Registrar aquí'!#REF!)</f>
        <v>#REF!</v>
      </c>
    </row>
    <row r="46" spans="1:5" x14ac:dyDescent="0.25">
      <c r="B46" s="10" t="e">
        <f>IF(ISBLANK('Registrar aquí'!#REF!),"",'Registrar aquí'!#REF!)</f>
        <v>#REF!</v>
      </c>
      <c r="C46" s="10" t="e">
        <f>IF(ISBLANK('Registrar aquí'!#REF!),"",'Registrar aquí'!#REF!)</f>
        <v>#REF!</v>
      </c>
      <c r="D46" s="10" t="e">
        <f>IF(ISBLANK('Registrar aquí'!#REF!),"",'Registrar aquí'!#REF!)</f>
        <v>#REF!</v>
      </c>
      <c r="E46" s="10" t="e">
        <f>IF(ISBLANK('Registrar aquí'!#REF!),"",'Registrar aquí'!#REF!)</f>
        <v>#REF!</v>
      </c>
    </row>
    <row r="47" spans="1:5" x14ac:dyDescent="0.25">
      <c r="B47" s="10" t="str">
        <f>IF(ISBLANK('Registrar aquí'!B57),"",'Registrar aquí'!B57)</f>
        <v/>
      </c>
      <c r="C47" s="10" t="str">
        <f>IF(ISBLANK('Registrar aquí'!C57),"",'Registrar aquí'!C57)</f>
        <v/>
      </c>
      <c r="D47" s="10" t="str">
        <f>IF(ISBLANK('Registrar aquí'!D57),"",'Registrar aquí'!D57)</f>
        <v/>
      </c>
      <c r="E47" s="10" t="str">
        <f>IF(ISBLANK('Registrar aquí'!E57),"",'Registrar aquí'!E57)</f>
        <v/>
      </c>
    </row>
    <row r="48" spans="1:5" x14ac:dyDescent="0.25">
      <c r="B48" s="10" t="str">
        <f>IF(ISBLANK('Registrar aquí'!B58),"",'Registrar aquí'!B58)</f>
        <v/>
      </c>
      <c r="C48" s="10" t="str">
        <f>IF(ISBLANK('Registrar aquí'!C58),"",'Registrar aquí'!C58)</f>
        <v/>
      </c>
      <c r="D48" s="10" t="str">
        <f>IF(ISBLANK('Registrar aquí'!D58),"",'Registrar aquí'!D58)</f>
        <v/>
      </c>
      <c r="E48" s="10" t="str">
        <f>IF(ISBLANK('Registrar aquí'!E58),"",'Registrar aquí'!E58)</f>
        <v/>
      </c>
    </row>
    <row r="49" spans="2:5" x14ac:dyDescent="0.25">
      <c r="B49" s="10" t="str">
        <f>IF(ISBLANK('Registrar aquí'!B59),"",'Registrar aquí'!B59)</f>
        <v/>
      </c>
      <c r="C49" s="10" t="str">
        <f>IF(ISBLANK('Registrar aquí'!C59),"",'Registrar aquí'!C59)</f>
        <v/>
      </c>
      <c r="D49" s="10" t="str">
        <f>IF(ISBLANK('Registrar aquí'!D59),"",'Registrar aquí'!D59)</f>
        <v/>
      </c>
      <c r="E49" s="10" t="str">
        <f>IF(ISBLANK('Registrar aquí'!E59),"",'Registrar aquí'!E59)</f>
        <v/>
      </c>
    </row>
    <row r="50" spans="2:5" x14ac:dyDescent="0.25">
      <c r="B50" s="5" t="s">
        <v>161</v>
      </c>
      <c r="C50" s="17"/>
      <c r="D50" s="12"/>
      <c r="E50" s="12"/>
    </row>
    <row r="51" spans="2:5" x14ac:dyDescent="0.25">
      <c r="B51" s="10" t="str">
        <f>IF(ISBLANK('Registrar aquí'!B61),"",'Registrar aquí'!B61)</f>
        <v/>
      </c>
      <c r="C51" s="10" t="str">
        <f>IF(ISBLANK('Registrar aquí'!C61),"",'Registrar aquí'!C61)</f>
        <v/>
      </c>
      <c r="D51" s="10" t="str">
        <f>IF(ISBLANK('Registrar aquí'!D61),"",'Registrar aquí'!D61)</f>
        <v/>
      </c>
      <c r="E51" s="10" t="str">
        <f>IF(ISBLANK('Registrar aquí'!E61),"",'Registrar aquí'!E61)</f>
        <v/>
      </c>
    </row>
    <row r="52" spans="2:5" x14ac:dyDescent="0.25">
      <c r="B52" s="5"/>
      <c r="C52" s="19" t="s">
        <v>86</v>
      </c>
      <c r="D52" s="34" t="str">
        <f>IF(ISBLANK('Registrar aquí'!D62),"",'Registrar aquí'!D62)</f>
        <v/>
      </c>
      <c r="E52" s="31"/>
    </row>
    <row r="53" spans="2:5" x14ac:dyDescent="0.25">
      <c r="B53" s="10" t="str">
        <f>IF(ISBLANK('Registrar aquí'!B63),"",'Registrar aquí'!B63)</f>
        <v/>
      </c>
      <c r="C53" s="10" t="str">
        <f>IF(ISBLANK('Registrar aquí'!C63),"",'Registrar aquí'!C63)</f>
        <v/>
      </c>
      <c r="D53" s="10" t="str">
        <f>IF(ISBLANK('Registrar aquí'!D63),"",'Registrar aquí'!D63)</f>
        <v/>
      </c>
      <c r="E53" s="10" t="str">
        <f>IF(ISBLANK('Registrar aquí'!E63),"",'Registrar aquí'!E63)</f>
        <v/>
      </c>
    </row>
    <row r="54" spans="2:5" x14ac:dyDescent="0.25">
      <c r="B54" s="10" t="str">
        <f>IF(ISBLANK('Registrar aquí'!B64),"",'Registrar aquí'!B64)</f>
        <v/>
      </c>
      <c r="C54" s="10" t="str">
        <f>IF(ISBLANK('Registrar aquí'!C64),"",'Registrar aquí'!C64)</f>
        <v/>
      </c>
      <c r="D54" s="10" t="str">
        <f>IF(ISBLANK('Registrar aquí'!D64),"",'Registrar aquí'!D64)</f>
        <v/>
      </c>
      <c r="E54" s="10" t="str">
        <f>IF(ISBLANK('Registrar aquí'!E64),"",'Registrar aquí'!E64)</f>
        <v/>
      </c>
    </row>
    <row r="55" spans="2:5" x14ac:dyDescent="0.25">
      <c r="B55" s="10" t="e">
        <f>IF(ISBLANK('Registrar aquí'!#REF!),"",'Registrar aquí'!#REF!)</f>
        <v>#REF!</v>
      </c>
      <c r="C55" s="10" t="e">
        <f>IF(ISBLANK('Registrar aquí'!#REF!),"",'Registrar aquí'!#REF!)</f>
        <v>#REF!</v>
      </c>
      <c r="D55" s="10" t="e">
        <f>IF(ISBLANK('Registrar aquí'!#REF!),"",'Registrar aquí'!#REF!)</f>
        <v>#REF!</v>
      </c>
      <c r="E55" s="10" t="e">
        <f>IF(ISBLANK('Registrar aquí'!#REF!),"",'Registrar aquí'!#REF!)</f>
        <v>#REF!</v>
      </c>
    </row>
    <row r="56" spans="2:5" x14ac:dyDescent="0.25">
      <c r="B56" s="10" t="e">
        <f>IF(ISBLANK('Registrar aquí'!#REF!),"",'Registrar aquí'!#REF!)</f>
        <v>#REF!</v>
      </c>
      <c r="C56" s="10" t="e">
        <f>IF(ISBLANK('Registrar aquí'!#REF!),"",'Registrar aquí'!#REF!)</f>
        <v>#REF!</v>
      </c>
      <c r="D56" s="10" t="e">
        <f>IF(ISBLANK('Registrar aquí'!#REF!),"",'Registrar aquí'!#REF!)</f>
        <v>#REF!</v>
      </c>
      <c r="E56" s="10" t="e">
        <f>IF(ISBLANK('Registrar aquí'!#REF!),"",'Registrar aquí'!#REF!)</f>
        <v>#REF!</v>
      </c>
    </row>
    <row r="57" spans="2:5" x14ac:dyDescent="0.25">
      <c r="B57" s="10" t="str">
        <f>IF(ISBLANK('Registrar aquí'!B65),"",'Registrar aquí'!B65)</f>
        <v/>
      </c>
      <c r="C57" s="10" t="str">
        <f>IF(ISBLANK('Registrar aquí'!C65),"",'Registrar aquí'!C65)</f>
        <v/>
      </c>
      <c r="D57" s="10" t="str">
        <f>IF(ISBLANK('Registrar aquí'!D65),"",'Registrar aquí'!D65)</f>
        <v/>
      </c>
      <c r="E57" s="10" t="str">
        <f>IF(ISBLANK('Registrar aquí'!E65),"",'Registrar aquí'!E65)</f>
        <v/>
      </c>
    </row>
    <row r="58" spans="2:5" x14ac:dyDescent="0.25">
      <c r="B58" s="10" t="str">
        <f>IF(ISBLANK('Registrar aquí'!B66),"",'Registrar aquí'!B66)</f>
        <v/>
      </c>
      <c r="C58" s="10" t="str">
        <f>IF(ISBLANK('Registrar aquí'!C66),"",'Registrar aquí'!C66)</f>
        <v/>
      </c>
      <c r="D58" s="10" t="str">
        <f>IF(ISBLANK('Registrar aquí'!D66),"",'Registrar aquí'!D66)</f>
        <v/>
      </c>
      <c r="E58" s="10" t="str">
        <f>IF(ISBLANK('Registrar aquí'!E66),"",'Registrar aquí'!E66)</f>
        <v/>
      </c>
    </row>
    <row r="59" spans="2:5" x14ac:dyDescent="0.25">
      <c r="B59" s="10" t="str">
        <f>IF(ISBLANK('Registrar aquí'!B67),"",'Registrar aquí'!B67)</f>
        <v/>
      </c>
      <c r="C59" s="10" t="str">
        <f>IF(ISBLANK('Registrar aquí'!C67),"",'Registrar aquí'!C67)</f>
        <v/>
      </c>
      <c r="D59" s="10" t="str">
        <f>IF(ISBLANK('Registrar aquí'!D67),"",'Registrar aquí'!D67)</f>
        <v/>
      </c>
      <c r="E59" s="10" t="str">
        <f>IF(ISBLANK('Registrar aquí'!E67),"",'Registrar aquí'!E67)</f>
        <v/>
      </c>
    </row>
    <row r="60" spans="2:5" x14ac:dyDescent="0.25">
      <c r="B60" s="5" t="s">
        <v>160</v>
      </c>
      <c r="C60" s="17"/>
      <c r="D60" s="12"/>
      <c r="E60" s="12"/>
    </row>
    <row r="61" spans="2:5" x14ac:dyDescent="0.25">
      <c r="B61" s="10" t="str">
        <f>IF(ISBLANK('Registrar aquí'!B69),"",'Registrar aquí'!B69)</f>
        <v/>
      </c>
      <c r="C61" s="10" t="str">
        <f>IF(ISBLANK('Registrar aquí'!C69),"",'Registrar aquí'!C69)</f>
        <v/>
      </c>
      <c r="D61" s="10" t="str">
        <f>IF(ISBLANK('Registrar aquí'!D69),"",'Registrar aquí'!D69)</f>
        <v/>
      </c>
      <c r="E61" s="10" t="str">
        <f>IF(ISBLANK('Registrar aquí'!E69),"",'Registrar aquí'!E69)</f>
        <v/>
      </c>
    </row>
    <row r="62" spans="2:5" x14ac:dyDescent="0.25">
      <c r="B62" s="5"/>
      <c r="C62" s="19" t="s">
        <v>86</v>
      </c>
      <c r="D62" s="34" t="str">
        <f>IF(ISBLANK('Registrar aquí'!D70),"",'Registrar aquí'!D70)</f>
        <v/>
      </c>
      <c r="E62" s="31"/>
    </row>
    <row r="63" spans="2:5" x14ac:dyDescent="0.25">
      <c r="B63" s="10" t="str">
        <f>IF(ISBLANK('Registrar aquí'!B71),"",'Registrar aquí'!B71)</f>
        <v/>
      </c>
      <c r="C63" s="10" t="str">
        <f>IF(ISBLANK('Registrar aquí'!C71),"",'Registrar aquí'!C71)</f>
        <v/>
      </c>
      <c r="D63" s="10" t="str">
        <f>IF(ISBLANK('Registrar aquí'!D71),"",'Registrar aquí'!D71)</f>
        <v/>
      </c>
      <c r="E63" s="10" t="str">
        <f>IF(ISBLANK('Registrar aquí'!E71),"",'Registrar aquí'!E71)</f>
        <v/>
      </c>
    </row>
    <row r="64" spans="2:5" x14ac:dyDescent="0.25">
      <c r="B64" s="10" t="e">
        <f>IF(ISBLANK('Registrar aquí'!#REF!),"",'Registrar aquí'!#REF!)</f>
        <v>#REF!</v>
      </c>
      <c r="C64" s="10" t="e">
        <f>IF(ISBLANK('Registrar aquí'!#REF!),"",'Registrar aquí'!#REF!)</f>
        <v>#REF!</v>
      </c>
      <c r="D64" s="10" t="e">
        <f>IF(ISBLANK('Registrar aquí'!#REF!),"",'Registrar aquí'!#REF!)</f>
        <v>#REF!</v>
      </c>
      <c r="E64" s="10" t="e">
        <f>IF(ISBLANK('Registrar aquí'!#REF!),"",'Registrar aquí'!#REF!)</f>
        <v>#REF!</v>
      </c>
    </row>
    <row r="65" spans="2:5" x14ac:dyDescent="0.25">
      <c r="B65" s="10" t="e">
        <f>IF(ISBLANK('Registrar aquí'!#REF!),"",'Registrar aquí'!#REF!)</f>
        <v>#REF!</v>
      </c>
      <c r="C65" s="10" t="e">
        <f>IF(ISBLANK('Registrar aquí'!#REF!),"",'Registrar aquí'!#REF!)</f>
        <v>#REF!</v>
      </c>
      <c r="D65" s="10" t="e">
        <f>IF(ISBLANK('Registrar aquí'!#REF!),"",'Registrar aquí'!#REF!)</f>
        <v>#REF!</v>
      </c>
      <c r="E65" s="10" t="e">
        <f>IF(ISBLANK('Registrar aquí'!#REF!),"",'Registrar aquí'!#REF!)</f>
        <v>#REF!</v>
      </c>
    </row>
    <row r="66" spans="2:5" x14ac:dyDescent="0.25">
      <c r="B66" s="10" t="str">
        <f>IF(ISBLANK('Registrar aquí'!B72),"",'Registrar aquí'!B72)</f>
        <v/>
      </c>
      <c r="C66" s="10" t="str">
        <f>IF(ISBLANK('Registrar aquí'!C72),"",'Registrar aquí'!C72)</f>
        <v/>
      </c>
      <c r="D66" s="10" t="str">
        <f>IF(ISBLANK('Registrar aquí'!D72),"",'Registrar aquí'!D72)</f>
        <v/>
      </c>
      <c r="E66" s="10" t="str">
        <f>IF(ISBLANK('Registrar aquí'!E72),"",'Registrar aquí'!E72)</f>
        <v/>
      </c>
    </row>
    <row r="67" spans="2:5" x14ac:dyDescent="0.25">
      <c r="B67" s="10" t="str">
        <f>IF(ISBLANK('Registrar aquí'!B73),"",'Registrar aquí'!B73)</f>
        <v/>
      </c>
      <c r="C67" s="10" t="str">
        <f>IF(ISBLANK('Registrar aquí'!C73),"",'Registrar aquí'!C73)</f>
        <v/>
      </c>
      <c r="D67" s="10" t="str">
        <f>IF(ISBLANK('Registrar aquí'!D73),"",'Registrar aquí'!D73)</f>
        <v/>
      </c>
      <c r="E67" s="10" t="str">
        <f>IF(ISBLANK('Registrar aquí'!E73),"",'Registrar aquí'!E73)</f>
        <v/>
      </c>
    </row>
    <row r="68" spans="2:5" x14ac:dyDescent="0.25">
      <c r="B68" s="10" t="str">
        <f>IF(ISBLANK('Registrar aquí'!B74),"",'Registrar aquí'!B74)</f>
        <v/>
      </c>
      <c r="C68" s="10" t="str">
        <f>IF(ISBLANK('Registrar aquí'!C74),"",'Registrar aquí'!C74)</f>
        <v/>
      </c>
      <c r="D68" s="10" t="str">
        <f>IF(ISBLANK('Registrar aquí'!D74),"",'Registrar aquí'!D74)</f>
        <v/>
      </c>
      <c r="E68" s="10" t="str">
        <f>IF(ISBLANK('Registrar aquí'!E74),"",'Registrar aquí'!E74)</f>
        <v/>
      </c>
    </row>
    <row r="69" spans="2:5" x14ac:dyDescent="0.25">
      <c r="B69" s="10" t="str">
        <f>IF(ISBLANK('Registrar aquí'!B75),"",'Registrar aquí'!B75)</f>
        <v/>
      </c>
      <c r="C69" s="10" t="str">
        <f>IF(ISBLANK('Registrar aquí'!C75),"",'Registrar aquí'!C75)</f>
        <v/>
      </c>
      <c r="D69" s="10" t="str">
        <f>IF(ISBLANK('Registrar aquí'!D75),"",'Registrar aquí'!D75)</f>
        <v/>
      </c>
      <c r="E69" s="10" t="str">
        <f>IF(ISBLANK('Registrar aquí'!E75),"",'Registrar aquí'!E75)</f>
        <v/>
      </c>
    </row>
    <row r="70" spans="2:5" x14ac:dyDescent="0.25">
      <c r="B70" s="5" t="s">
        <v>159</v>
      </c>
      <c r="C70" s="17"/>
      <c r="D70" s="12"/>
      <c r="E70" s="12"/>
    </row>
    <row r="71" spans="2:5" x14ac:dyDescent="0.25">
      <c r="B71" s="10" t="str">
        <f>IF(ISBLANK('Registrar aquí'!B77),"",'Registrar aquí'!B77)</f>
        <v/>
      </c>
      <c r="C71" s="10" t="str">
        <f>IF(ISBLANK('Registrar aquí'!C77),"",'Registrar aquí'!C77)</f>
        <v/>
      </c>
      <c r="D71" s="10" t="str">
        <f>IF(ISBLANK('Registrar aquí'!D77),"",'Registrar aquí'!D77)</f>
        <v/>
      </c>
      <c r="E71" s="10" t="str">
        <f>IF(ISBLANK('Registrar aquí'!E77),"",'Registrar aquí'!E77)</f>
        <v/>
      </c>
    </row>
    <row r="72" spans="2:5" x14ac:dyDescent="0.25">
      <c r="B72" s="5"/>
      <c r="C72" s="19" t="s">
        <v>86</v>
      </c>
      <c r="D72" s="34" t="str">
        <f>IF(ISBLANK('Registrar aquí'!D78),"",'Registrar aquí'!D78)</f>
        <v/>
      </c>
      <c r="E72" s="31"/>
    </row>
    <row r="73" spans="2:5" x14ac:dyDescent="0.25">
      <c r="B73" s="10" t="str">
        <f>IF(ISBLANK('Registrar aquí'!B79),"",'Registrar aquí'!B79)</f>
        <v/>
      </c>
      <c r="C73" s="10" t="str">
        <f>IF(ISBLANK('Registrar aquí'!C79),"",'Registrar aquí'!C79)</f>
        <v/>
      </c>
      <c r="D73" s="10" t="str">
        <f>IF(ISBLANK('Registrar aquí'!D79),"",'Registrar aquí'!D79)</f>
        <v/>
      </c>
      <c r="E73" s="10" t="str">
        <f>IF(ISBLANK('Registrar aquí'!E79),"",'Registrar aquí'!E79)</f>
        <v/>
      </c>
    </row>
    <row r="74" spans="2:5" x14ac:dyDescent="0.25">
      <c r="B74" s="10" t="e">
        <f>IF(ISBLANK('Registrar aquí'!#REF!),"",'Registrar aquí'!#REF!)</f>
        <v>#REF!</v>
      </c>
      <c r="C74" s="10" t="e">
        <f>IF(ISBLANK('Registrar aquí'!#REF!),"",'Registrar aquí'!#REF!)</f>
        <v>#REF!</v>
      </c>
      <c r="D74" s="10" t="e">
        <f>IF(ISBLANK('Registrar aquí'!#REF!),"",'Registrar aquí'!#REF!)</f>
        <v>#REF!</v>
      </c>
      <c r="E74" s="10" t="e">
        <f>IF(ISBLANK('Registrar aquí'!#REF!),"",'Registrar aquí'!#REF!)</f>
        <v>#REF!</v>
      </c>
    </row>
    <row r="75" spans="2:5" x14ac:dyDescent="0.25">
      <c r="B75" s="10" t="e">
        <f>IF(ISBLANK('Registrar aquí'!#REF!),"",'Registrar aquí'!#REF!)</f>
        <v>#REF!</v>
      </c>
      <c r="C75" s="10" t="e">
        <f>IF(ISBLANK('Registrar aquí'!#REF!),"",'Registrar aquí'!#REF!)</f>
        <v>#REF!</v>
      </c>
      <c r="D75" s="10" t="e">
        <f>IF(ISBLANK('Registrar aquí'!#REF!),"",'Registrar aquí'!#REF!)</f>
        <v>#REF!</v>
      </c>
      <c r="E75" s="10" t="e">
        <f>IF(ISBLANK('Registrar aquí'!#REF!),"",'Registrar aquí'!#REF!)</f>
        <v>#REF!</v>
      </c>
    </row>
    <row r="76" spans="2:5" x14ac:dyDescent="0.25">
      <c r="B76" s="10" t="str">
        <f>IF(ISBLANK('Registrar aquí'!B80),"",'Registrar aquí'!B80)</f>
        <v/>
      </c>
      <c r="C76" s="10" t="str">
        <f>IF(ISBLANK('Registrar aquí'!C80),"",'Registrar aquí'!C80)</f>
        <v/>
      </c>
      <c r="D76" s="10" t="str">
        <f>IF(ISBLANK('Registrar aquí'!D80),"",'Registrar aquí'!D80)</f>
        <v/>
      </c>
      <c r="E76" s="10" t="str">
        <f>IF(ISBLANK('Registrar aquí'!E80),"",'Registrar aquí'!E80)</f>
        <v/>
      </c>
    </row>
    <row r="77" spans="2:5" x14ac:dyDescent="0.25">
      <c r="B77" s="10" t="str">
        <f>IF(ISBLANK('Registrar aquí'!B81),"",'Registrar aquí'!B81)</f>
        <v/>
      </c>
      <c r="C77" s="10" t="str">
        <f>IF(ISBLANK('Registrar aquí'!C81),"",'Registrar aquí'!C81)</f>
        <v/>
      </c>
      <c r="D77" s="10" t="str">
        <f>IF(ISBLANK('Registrar aquí'!D81),"",'Registrar aquí'!D81)</f>
        <v/>
      </c>
      <c r="E77" s="10" t="str">
        <f>IF(ISBLANK('Registrar aquí'!E81),"",'Registrar aquí'!E81)</f>
        <v/>
      </c>
    </row>
    <row r="78" spans="2:5" x14ac:dyDescent="0.25">
      <c r="B78" s="10" t="str">
        <f>IF(ISBLANK('Registrar aquí'!B82),"",'Registrar aquí'!B82)</f>
        <v/>
      </c>
      <c r="C78" s="10" t="str">
        <f>IF(ISBLANK('Registrar aquí'!C82),"",'Registrar aquí'!C82)</f>
        <v/>
      </c>
      <c r="D78" s="10" t="str">
        <f>IF(ISBLANK('Registrar aquí'!D82),"",'Registrar aquí'!D82)</f>
        <v/>
      </c>
      <c r="E78" s="10" t="str">
        <f>IF(ISBLANK('Registrar aquí'!E82),"",'Registrar aquí'!E82)</f>
        <v/>
      </c>
    </row>
    <row r="79" spans="2:5" x14ac:dyDescent="0.25">
      <c r="B79" s="10" t="str">
        <f>IF(ISBLANK('Registrar aquí'!B83),"",'Registrar aquí'!B83)</f>
        <v/>
      </c>
      <c r="C79" s="10" t="str">
        <f>IF(ISBLANK('Registrar aquí'!C83),"",'Registrar aquí'!C83)</f>
        <v/>
      </c>
      <c r="D79" s="10" t="str">
        <f>IF(ISBLANK('Registrar aquí'!D83),"",'Registrar aquí'!D83)</f>
        <v/>
      </c>
      <c r="E79" s="10" t="str">
        <f>IF(ISBLANK('Registrar aquí'!E83),"",'Registrar aquí'!E83)</f>
        <v/>
      </c>
    </row>
    <row r="80" spans="2:5" x14ac:dyDescent="0.25">
      <c r="B80" s="5"/>
      <c r="C80" s="5"/>
      <c r="D80" s="12"/>
      <c r="E80" s="2"/>
    </row>
    <row r="81" spans="2:5" x14ac:dyDescent="0.25">
      <c r="B81" s="17"/>
      <c r="C81" s="29" t="s">
        <v>163</v>
      </c>
      <c r="D81" s="10" t="str">
        <f>IF(ISBLANK('Registrar aquí'!D85),"",'Registrar aquí'!D85)</f>
        <v/>
      </c>
      <c r="E81" s="2"/>
    </row>
    <row r="82" spans="2:5" x14ac:dyDescent="0.25">
      <c r="B82" s="5"/>
      <c r="C82" s="5"/>
      <c r="D82" s="12"/>
      <c r="E82" s="2"/>
    </row>
    <row r="83" spans="2:5" x14ac:dyDescent="0.25">
      <c r="B83" s="6" t="s">
        <v>91</v>
      </c>
      <c r="C83" s="5"/>
      <c r="D83" s="12"/>
      <c r="E83" s="2"/>
    </row>
    <row r="84" spans="2:5" x14ac:dyDescent="0.25">
      <c r="B84" s="5" t="s">
        <v>92</v>
      </c>
      <c r="C84" s="17"/>
      <c r="D84" s="12"/>
      <c r="E84" s="12"/>
    </row>
    <row r="85" spans="2:5" x14ac:dyDescent="0.25">
      <c r="B85" s="18" t="s">
        <v>82</v>
      </c>
      <c r="C85" s="18" t="s">
        <v>93</v>
      </c>
      <c r="D85" s="18" t="s">
        <v>84</v>
      </c>
      <c r="E85" s="18" t="s">
        <v>158</v>
      </c>
    </row>
    <row r="86" spans="2:5" x14ac:dyDescent="0.25">
      <c r="B86" s="10" t="str">
        <f>IF(ISBLANK('Registrar aquí'!B90),"",'Registrar aquí'!B90)</f>
        <v/>
      </c>
      <c r="C86" s="10" t="str">
        <f>IF(ISBLANK('Registrar aquí'!C90),"",'Registrar aquí'!C90)</f>
        <v/>
      </c>
      <c r="D86" s="10" t="str">
        <f>IF(ISBLANK('Registrar aquí'!D90),"",'Registrar aquí'!D90)</f>
        <v/>
      </c>
      <c r="E86" s="10" t="str">
        <f>IF(ISBLANK('Registrar aquí'!E90),"",'Registrar aquí'!E90)</f>
        <v/>
      </c>
    </row>
    <row r="87" spans="2:5" x14ac:dyDescent="0.25">
      <c r="B87" s="10" t="str">
        <f>IF(ISBLANK('Registrar aquí'!B91),"",'Registrar aquí'!B91)</f>
        <v/>
      </c>
      <c r="C87" s="10" t="str">
        <f>IF(ISBLANK('Registrar aquí'!C91),"",'Registrar aquí'!C91)</f>
        <v/>
      </c>
      <c r="D87" s="10" t="str">
        <f>IF(ISBLANK('Registrar aquí'!D91),"",'Registrar aquí'!D91)</f>
        <v/>
      </c>
      <c r="E87" s="10" t="str">
        <f>IF(ISBLANK('Registrar aquí'!E91),"",'Registrar aquí'!E91)</f>
        <v/>
      </c>
    </row>
    <row r="88" spans="2:5" x14ac:dyDescent="0.25">
      <c r="B88" s="10" t="str">
        <f>IF(ISBLANK('Registrar aquí'!B92),"",'Registrar aquí'!B92)</f>
        <v/>
      </c>
      <c r="C88" s="10" t="str">
        <f>IF(ISBLANK('Registrar aquí'!C92),"",'Registrar aquí'!C92)</f>
        <v/>
      </c>
      <c r="D88" s="10" t="str">
        <f>IF(ISBLANK('Registrar aquí'!D92),"",'Registrar aquí'!D92)</f>
        <v/>
      </c>
      <c r="E88" s="10" t="str">
        <f>IF(ISBLANK('Registrar aquí'!E92),"",'Registrar aquí'!E92)</f>
        <v/>
      </c>
    </row>
    <row r="89" spans="2:5" x14ac:dyDescent="0.25">
      <c r="B89" s="10" t="str">
        <f>IF(ISBLANK('Registrar aquí'!B93),"",'Registrar aquí'!B93)</f>
        <v/>
      </c>
      <c r="C89" s="10" t="str">
        <f>IF(ISBLANK('Registrar aquí'!C93),"",'Registrar aquí'!C93)</f>
        <v/>
      </c>
      <c r="D89" s="10" t="str">
        <f>IF(ISBLANK('Registrar aquí'!D93),"",'Registrar aquí'!D93)</f>
        <v/>
      </c>
      <c r="E89" s="10" t="str">
        <f>IF(ISBLANK('Registrar aquí'!E93),"",'Registrar aquí'!E93)</f>
        <v/>
      </c>
    </row>
    <row r="90" spans="2:5" x14ac:dyDescent="0.25">
      <c r="B90" s="10" t="str">
        <f>IF(ISBLANK('Registrar aquí'!B94),"",'Registrar aquí'!B94)</f>
        <v/>
      </c>
      <c r="C90" s="10" t="str">
        <f>IF(ISBLANK('Registrar aquí'!C94),"",'Registrar aquí'!C94)</f>
        <v/>
      </c>
      <c r="D90" s="10" t="str">
        <f>IF(ISBLANK('Registrar aquí'!D94),"",'Registrar aquí'!D94)</f>
        <v/>
      </c>
      <c r="E90" s="10" t="str">
        <f>IF(ISBLANK('Registrar aquí'!E94),"",'Registrar aquí'!E94)</f>
        <v/>
      </c>
    </row>
    <row r="91" spans="2:5" x14ac:dyDescent="0.25">
      <c r="B91" s="10" t="str">
        <f>IF(ISBLANK('Registrar aquí'!B95),"",'Registrar aquí'!B95)</f>
        <v/>
      </c>
      <c r="C91" s="10" t="str">
        <f>IF(ISBLANK('Registrar aquí'!C95),"",'Registrar aquí'!C95)</f>
        <v/>
      </c>
      <c r="D91" s="10" t="str">
        <f>IF(ISBLANK('Registrar aquí'!D95),"",'Registrar aquí'!D95)</f>
        <v/>
      </c>
      <c r="E91" s="10" t="str">
        <f>IF(ISBLANK('Registrar aquí'!E95),"",'Registrar aquí'!E95)</f>
        <v/>
      </c>
    </row>
    <row r="92" spans="2:5" x14ac:dyDescent="0.25">
      <c r="B92" s="10" t="str">
        <f>IF(ISBLANK('Registrar aquí'!B96),"",'Registrar aquí'!B96)</f>
        <v/>
      </c>
      <c r="C92" s="10" t="str">
        <f>IF(ISBLANK('Registrar aquí'!C96),"",'Registrar aquí'!C96)</f>
        <v/>
      </c>
      <c r="D92" s="10" t="str">
        <f>IF(ISBLANK('Registrar aquí'!D96),"",'Registrar aquí'!D96)</f>
        <v/>
      </c>
      <c r="E92" s="10" t="str">
        <f>IF(ISBLANK('Registrar aquí'!E96),"",'Registrar aquí'!E96)</f>
        <v/>
      </c>
    </row>
    <row r="93" spans="2:5" x14ac:dyDescent="0.25">
      <c r="B93" s="10" t="str">
        <f>IF(ISBLANK('Registrar aquí'!B97),"",'Registrar aquí'!B97)</f>
        <v/>
      </c>
      <c r="C93" s="10" t="str">
        <f>IF(ISBLANK('Registrar aquí'!C97),"",'Registrar aquí'!C97)</f>
        <v/>
      </c>
      <c r="D93" s="10" t="str">
        <f>IF(ISBLANK('Registrar aquí'!D97),"",'Registrar aquí'!D97)</f>
        <v/>
      </c>
      <c r="E93" s="10" t="str">
        <f>IF(ISBLANK('Registrar aquí'!E97),"",'Registrar aquí'!E97)</f>
        <v/>
      </c>
    </row>
    <row r="94" spans="2:5" x14ac:dyDescent="0.25">
      <c r="B94" s="5" t="s">
        <v>94</v>
      </c>
      <c r="C94" s="17"/>
      <c r="D94" s="12"/>
      <c r="E94" s="12"/>
    </row>
    <row r="95" spans="2:5" x14ac:dyDescent="0.25">
      <c r="B95" s="18" t="s">
        <v>82</v>
      </c>
      <c r="C95" s="18" t="s">
        <v>93</v>
      </c>
      <c r="D95" s="18" t="s">
        <v>84</v>
      </c>
      <c r="E95" s="18" t="s">
        <v>158</v>
      </c>
    </row>
    <row r="96" spans="2:5" x14ac:dyDescent="0.25">
      <c r="B96" s="10" t="str">
        <f>IF(ISBLANK('Registrar aquí'!B100),"",'Registrar aquí'!B100)</f>
        <v/>
      </c>
      <c r="C96" s="10" t="str">
        <f>IF(ISBLANK('Registrar aquí'!C100),"",'Registrar aquí'!C100)</f>
        <v/>
      </c>
      <c r="D96" s="10" t="str">
        <f>IF(ISBLANK('Registrar aquí'!D100),"",'Registrar aquí'!D100)</f>
        <v/>
      </c>
      <c r="E96" s="10" t="str">
        <f>IF(ISBLANK('Registrar aquí'!E100),"",'Registrar aquí'!E100)</f>
        <v/>
      </c>
    </row>
    <row r="97" spans="2:5" x14ac:dyDescent="0.25">
      <c r="B97" s="10" t="str">
        <f>IF(ISBLANK('Registrar aquí'!B101),"",'Registrar aquí'!B101)</f>
        <v/>
      </c>
      <c r="C97" s="10" t="str">
        <f>IF(ISBLANK('Registrar aquí'!C101),"",'Registrar aquí'!C101)</f>
        <v/>
      </c>
      <c r="D97" s="10" t="str">
        <f>IF(ISBLANK('Registrar aquí'!D101),"",'Registrar aquí'!D101)</f>
        <v/>
      </c>
      <c r="E97" s="10" t="str">
        <f>IF(ISBLANK('Registrar aquí'!E101),"",'Registrar aquí'!E101)</f>
        <v/>
      </c>
    </row>
    <row r="98" spans="2:5" x14ac:dyDescent="0.25">
      <c r="B98" s="10" t="str">
        <f>IF(ISBLANK('Registrar aquí'!B102),"",'Registrar aquí'!B102)</f>
        <v/>
      </c>
      <c r="C98" s="10" t="str">
        <f>IF(ISBLANK('Registrar aquí'!C102),"",'Registrar aquí'!C102)</f>
        <v/>
      </c>
      <c r="D98" s="10" t="str">
        <f>IF(ISBLANK('Registrar aquí'!D102),"",'Registrar aquí'!D102)</f>
        <v/>
      </c>
      <c r="E98" s="10" t="str">
        <f>IF(ISBLANK('Registrar aquí'!E102),"",'Registrar aquí'!E102)</f>
        <v/>
      </c>
    </row>
    <row r="99" spans="2:5" x14ac:dyDescent="0.25">
      <c r="B99" s="10" t="str">
        <f>IF(ISBLANK('Registrar aquí'!B103),"",'Registrar aquí'!B103)</f>
        <v/>
      </c>
      <c r="C99" s="10" t="str">
        <f>IF(ISBLANK('Registrar aquí'!C103),"",'Registrar aquí'!C103)</f>
        <v/>
      </c>
      <c r="D99" s="10" t="str">
        <f>IF(ISBLANK('Registrar aquí'!D103),"",'Registrar aquí'!D103)</f>
        <v/>
      </c>
      <c r="E99" s="10" t="str">
        <f>IF(ISBLANK('Registrar aquí'!E103),"",'Registrar aquí'!E103)</f>
        <v/>
      </c>
    </row>
    <row r="100" spans="2:5" x14ac:dyDescent="0.25">
      <c r="B100" s="10" t="str">
        <f>IF(ISBLANK('Registrar aquí'!B104),"",'Registrar aquí'!B104)</f>
        <v/>
      </c>
      <c r="C100" s="10" t="str">
        <f>IF(ISBLANK('Registrar aquí'!C104),"",'Registrar aquí'!C104)</f>
        <v/>
      </c>
      <c r="D100" s="10" t="str">
        <f>IF(ISBLANK('Registrar aquí'!D104),"",'Registrar aquí'!D104)</f>
        <v/>
      </c>
      <c r="E100" s="10" t="str">
        <f>IF(ISBLANK('Registrar aquí'!E104),"",'Registrar aquí'!E104)</f>
        <v/>
      </c>
    </row>
    <row r="101" spans="2:5" x14ac:dyDescent="0.25">
      <c r="B101" s="10" t="str">
        <f>IF(ISBLANK('Registrar aquí'!B105),"",'Registrar aquí'!B105)</f>
        <v/>
      </c>
      <c r="C101" s="10" t="str">
        <f>IF(ISBLANK('Registrar aquí'!C105),"",'Registrar aquí'!C105)</f>
        <v/>
      </c>
      <c r="D101" s="10" t="str">
        <f>IF(ISBLANK('Registrar aquí'!D105),"",'Registrar aquí'!D105)</f>
        <v/>
      </c>
      <c r="E101" s="10" t="str">
        <f>IF(ISBLANK('Registrar aquí'!E105),"",'Registrar aquí'!E105)</f>
        <v/>
      </c>
    </row>
    <row r="102" spans="2:5" x14ac:dyDescent="0.25">
      <c r="B102" s="10" t="str">
        <f>IF(ISBLANK('Registrar aquí'!B106),"",'Registrar aquí'!B106)</f>
        <v/>
      </c>
      <c r="C102" s="10" t="str">
        <f>IF(ISBLANK('Registrar aquí'!C106),"",'Registrar aquí'!C106)</f>
        <v/>
      </c>
      <c r="D102" s="10" t="str">
        <f>IF(ISBLANK('Registrar aquí'!D106),"",'Registrar aquí'!D106)</f>
        <v/>
      </c>
      <c r="E102" s="10" t="str">
        <f>IF(ISBLANK('Registrar aquí'!E106),"",'Registrar aquí'!E106)</f>
        <v/>
      </c>
    </row>
    <row r="103" spans="2:5" x14ac:dyDescent="0.25">
      <c r="B103" s="10" t="str">
        <f>IF(ISBLANK('Registrar aquí'!B107),"",'Registrar aquí'!B107)</f>
        <v/>
      </c>
      <c r="C103" s="10" t="str">
        <f>IF(ISBLANK('Registrar aquí'!C107),"",'Registrar aquí'!C107)</f>
        <v/>
      </c>
      <c r="D103" s="10" t="str">
        <f>IF(ISBLANK('Registrar aquí'!D107),"",'Registrar aquí'!D107)</f>
        <v/>
      </c>
      <c r="E103" s="10" t="str">
        <f>IF(ISBLANK('Registrar aquí'!E107),"",'Registrar aquí'!E107)</f>
        <v/>
      </c>
    </row>
    <row r="104" spans="2:5" x14ac:dyDescent="0.25">
      <c r="B104" s="5" t="s">
        <v>95</v>
      </c>
      <c r="C104" s="17"/>
      <c r="D104" s="12"/>
      <c r="E104" s="12"/>
    </row>
    <row r="105" spans="2:5" x14ac:dyDescent="0.25">
      <c r="B105" s="18" t="s">
        <v>82</v>
      </c>
      <c r="C105" s="18" t="s">
        <v>96</v>
      </c>
      <c r="D105" s="18" t="s">
        <v>84</v>
      </c>
      <c r="E105" s="18" t="s">
        <v>158</v>
      </c>
    </row>
    <row r="106" spans="2:5" x14ac:dyDescent="0.25">
      <c r="B106" s="10" t="str">
        <f>IF(ISBLANK('Registrar aquí'!B110),"",'Registrar aquí'!B110)</f>
        <v/>
      </c>
      <c r="C106" s="10" t="str">
        <f>IF(ISBLANK('Registrar aquí'!C110),"",'Registrar aquí'!C110)</f>
        <v/>
      </c>
      <c r="D106" s="10" t="str">
        <f>IF(ISBLANK('Registrar aquí'!D110),"",'Registrar aquí'!D110)</f>
        <v/>
      </c>
      <c r="E106" s="10" t="str">
        <f>IF(ISBLANK('Registrar aquí'!E110),"",'Registrar aquí'!E110)</f>
        <v/>
      </c>
    </row>
    <row r="107" spans="2:5" x14ac:dyDescent="0.25">
      <c r="B107" s="10" t="str">
        <f>IF(ISBLANK('Registrar aquí'!B111),"",'Registrar aquí'!B111)</f>
        <v/>
      </c>
      <c r="C107" s="10" t="str">
        <f>IF(ISBLANK('Registrar aquí'!C111),"",'Registrar aquí'!C111)</f>
        <v/>
      </c>
      <c r="D107" s="10" t="str">
        <f>IF(ISBLANK('Registrar aquí'!D111),"",'Registrar aquí'!D111)</f>
        <v/>
      </c>
      <c r="E107" s="10" t="str">
        <f>IF(ISBLANK('Registrar aquí'!E111),"",'Registrar aquí'!E111)</f>
        <v/>
      </c>
    </row>
    <row r="108" spans="2:5" x14ac:dyDescent="0.25">
      <c r="B108" s="10" t="str">
        <f>IF(ISBLANK('Registrar aquí'!B112),"",'Registrar aquí'!B112)</f>
        <v/>
      </c>
      <c r="C108" s="10" t="str">
        <f>IF(ISBLANK('Registrar aquí'!C112),"",'Registrar aquí'!C112)</f>
        <v/>
      </c>
      <c r="D108" s="10" t="str">
        <f>IF(ISBLANK('Registrar aquí'!D112),"",'Registrar aquí'!D112)</f>
        <v/>
      </c>
      <c r="E108" s="10" t="str">
        <f>IF(ISBLANK('Registrar aquí'!E112),"",'Registrar aquí'!E112)</f>
        <v/>
      </c>
    </row>
    <row r="109" spans="2:5" x14ac:dyDescent="0.25">
      <c r="B109" s="10" t="str">
        <f>IF(ISBLANK('Registrar aquí'!B113),"",'Registrar aquí'!B113)</f>
        <v/>
      </c>
      <c r="C109" s="10" t="str">
        <f>IF(ISBLANK('Registrar aquí'!C113),"",'Registrar aquí'!C113)</f>
        <v/>
      </c>
      <c r="D109" s="10" t="str">
        <f>IF(ISBLANK('Registrar aquí'!D113),"",'Registrar aquí'!D113)</f>
        <v/>
      </c>
      <c r="E109" s="10" t="str">
        <f>IF(ISBLANK('Registrar aquí'!E113),"",'Registrar aquí'!E113)</f>
        <v/>
      </c>
    </row>
    <row r="110" spans="2:5" x14ac:dyDescent="0.25">
      <c r="B110" s="10" t="str">
        <f>IF(ISBLANK('Registrar aquí'!B114),"",'Registrar aquí'!B114)</f>
        <v/>
      </c>
      <c r="C110" s="10" t="str">
        <f>IF(ISBLANK('Registrar aquí'!C114),"",'Registrar aquí'!C114)</f>
        <v/>
      </c>
      <c r="D110" s="10" t="str">
        <f>IF(ISBLANK('Registrar aquí'!D114),"",'Registrar aquí'!D114)</f>
        <v/>
      </c>
      <c r="E110" s="10" t="str">
        <f>IF(ISBLANK('Registrar aquí'!E114),"",'Registrar aquí'!E114)</f>
        <v/>
      </c>
    </row>
    <row r="111" spans="2:5" x14ac:dyDescent="0.25">
      <c r="B111" s="5"/>
      <c r="C111" s="17"/>
      <c r="D111" s="12"/>
      <c r="E111" s="12"/>
    </row>
    <row r="112" spans="2:5" x14ac:dyDescent="0.25">
      <c r="B112" s="18" t="s">
        <v>82</v>
      </c>
      <c r="C112" s="18" t="s">
        <v>83</v>
      </c>
      <c r="D112" s="18" t="s">
        <v>84</v>
      </c>
      <c r="E112" s="18" t="s">
        <v>158</v>
      </c>
    </row>
    <row r="113" spans="2:5" x14ac:dyDescent="0.25">
      <c r="B113" s="5" t="s">
        <v>97</v>
      </c>
      <c r="C113" s="17"/>
      <c r="D113" s="12"/>
      <c r="E113" s="12"/>
    </row>
    <row r="114" spans="2:5" x14ac:dyDescent="0.25">
      <c r="B114" s="10" t="str">
        <f>IF(ISBLANK('Registrar aquí'!B118),"",'Registrar aquí'!B118)</f>
        <v/>
      </c>
      <c r="C114" s="10" t="str">
        <f>IF(ISBLANK('Registrar aquí'!C118),"",'Registrar aquí'!C118)</f>
        <v/>
      </c>
      <c r="D114" s="10" t="str">
        <f>IF(ISBLANK('Registrar aquí'!D118),"",'Registrar aquí'!D118)</f>
        <v/>
      </c>
      <c r="E114" s="10" t="str">
        <f>IF(ISBLANK('Registrar aquí'!E118),"",'Registrar aquí'!E118)</f>
        <v/>
      </c>
    </row>
    <row r="115" spans="2:5" x14ac:dyDescent="0.25">
      <c r="B115" s="5" t="s">
        <v>98</v>
      </c>
      <c r="C115" s="17"/>
      <c r="D115" s="12"/>
      <c r="E115" s="12"/>
    </row>
    <row r="116" spans="2:5" x14ac:dyDescent="0.25">
      <c r="B116" s="10" t="str">
        <f>IF(ISBLANK('Registrar aquí'!B120),"",'Registrar aquí'!B120)</f>
        <v/>
      </c>
      <c r="C116" s="10" t="str">
        <f>IF(ISBLANK('Registrar aquí'!C120),"",'Registrar aquí'!C120)</f>
        <v/>
      </c>
      <c r="D116" s="10" t="str">
        <f>IF(ISBLANK('Registrar aquí'!D120),"",'Registrar aquí'!D120)</f>
        <v/>
      </c>
      <c r="E116" s="10" t="str">
        <f>IF(ISBLANK('Registrar aquí'!E120),"",'Registrar aquí'!E120)</f>
        <v/>
      </c>
    </row>
    <row r="117" spans="2:5" x14ac:dyDescent="0.25">
      <c r="B117" s="5" t="s">
        <v>99</v>
      </c>
      <c r="C117" s="17"/>
      <c r="D117" s="12"/>
      <c r="E117" s="12"/>
    </row>
    <row r="118" spans="2:5" x14ac:dyDescent="0.25">
      <c r="B118" s="10" t="str">
        <f>IF(ISBLANK('Registrar aquí'!B122),"",'Registrar aquí'!B122)</f>
        <v/>
      </c>
      <c r="C118" s="10" t="str">
        <f>IF(ISBLANK('Registrar aquí'!C122),"",'Registrar aquí'!C122)</f>
        <v/>
      </c>
      <c r="D118" s="10" t="str">
        <f>IF(ISBLANK('Registrar aquí'!D122),"",'Registrar aquí'!D122)</f>
        <v/>
      </c>
      <c r="E118" s="10" t="str">
        <f>IF(ISBLANK('Registrar aquí'!E122),"",'Registrar aquí'!E122)</f>
        <v/>
      </c>
    </row>
    <row r="119" spans="2:5" x14ac:dyDescent="0.25">
      <c r="B119" s="5" t="s">
        <v>100</v>
      </c>
      <c r="C119" s="17"/>
      <c r="D119" s="12"/>
      <c r="E119" s="12"/>
    </row>
    <row r="120" spans="2:5" x14ac:dyDescent="0.25">
      <c r="B120" s="10" t="str">
        <f>IF(ISBLANK('Registrar aquí'!B124),"",'Registrar aquí'!B124)</f>
        <v/>
      </c>
      <c r="C120" s="10" t="str">
        <f>IF(ISBLANK('Registrar aquí'!C124),"",'Registrar aquí'!C124)</f>
        <v/>
      </c>
      <c r="D120" s="10" t="str">
        <f>IF(ISBLANK('Registrar aquí'!D124),"",'Registrar aquí'!D124)</f>
        <v/>
      </c>
      <c r="E120" s="10" t="str">
        <f>IF(ISBLANK('Registrar aquí'!E124),"",'Registrar aquí'!E124)</f>
        <v/>
      </c>
    </row>
    <row r="121" spans="2:5" x14ac:dyDescent="0.25">
      <c r="B121" s="5"/>
      <c r="C121" s="17"/>
      <c r="D121" s="12"/>
      <c r="E121" s="12"/>
    </row>
    <row r="122" spans="2:5" x14ac:dyDescent="0.25">
      <c r="B122" s="5"/>
      <c r="C122" s="5"/>
      <c r="D122" s="2"/>
      <c r="E122" s="2"/>
    </row>
    <row r="123" spans="2:5" x14ac:dyDescent="0.25">
      <c r="B123" s="2"/>
      <c r="C123" s="5" t="s">
        <v>101</v>
      </c>
      <c r="D123" s="11" t="str">
        <f>IF(ISBLANK('Registrar aquí'!D127),"",'Registrar aquí'!D127)</f>
        <v/>
      </c>
      <c r="E123" s="2"/>
    </row>
    <row r="124" spans="2:5" x14ac:dyDescent="0.25">
      <c r="B124" s="2"/>
      <c r="C124" s="5" t="s">
        <v>68</v>
      </c>
      <c r="D124" s="16" t="str">
        <f>IF(ISBLANK('Registrar aquí'!D128),"",'Registrar aquí'!D128)</f>
        <v/>
      </c>
      <c r="E124" s="2"/>
    </row>
    <row r="125" spans="2:5" x14ac:dyDescent="0.25">
      <c r="B125" s="2"/>
      <c r="C125" s="2"/>
      <c r="D125" s="2"/>
      <c r="E125" s="2"/>
    </row>
  </sheetData>
  <protectedRanges>
    <protectedRange sqref="C4:C5" name="Rango1"/>
    <protectedRange sqref="C22:E22 C24:E25 C34:E34 C27:E28 D52:E52 D62:E62 D72:E72 D42:E42" name="Rango1_1"/>
    <protectedRange sqref="C113:E113 C84:E84 C94:E94 C104:E104 C111:E111 C40:E40 C42 C50:E50 C52 C60:E60 C62 C70:E70 C72 C115:E115 C117:E117 C119:E119 C121:E121" name="Rango1_2"/>
  </protectedRanges>
  <mergeCells count="8">
    <mergeCell ref="D72:E72"/>
    <mergeCell ref="D24:E24"/>
    <mergeCell ref="D27:E27"/>
    <mergeCell ref="B4:E4"/>
    <mergeCell ref="A1:B1"/>
    <mergeCell ref="D42:E42"/>
    <mergeCell ref="D52:E52"/>
    <mergeCell ref="D62:E62"/>
  </mergeCells>
  <pageMargins left="0.7" right="0.7" top="0.75" bottom="0.75" header="0.3" footer="0.3"/>
  <pageSetup paperSize="9" scale="72" orientation="portrait" r:id="rId1"/>
  <rowBreaks count="1" manualBreakCount="1">
    <brk id="69" max="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G46"/>
  <sheetViews>
    <sheetView workbookViewId="0"/>
  </sheetViews>
  <sheetFormatPr baseColWidth="10" defaultRowHeight="15" x14ac:dyDescent="0.25"/>
  <cols>
    <col min="1" max="1" width="35.28515625" customWidth="1"/>
    <col min="3" max="3" width="20.28515625" bestFit="1" customWidth="1"/>
  </cols>
  <sheetData>
    <row r="1" spans="1:7" x14ac:dyDescent="0.25">
      <c r="A1" s="4" t="s">
        <v>1</v>
      </c>
      <c r="C1" s="4" t="s">
        <v>2</v>
      </c>
      <c r="E1" s="4" t="s">
        <v>102</v>
      </c>
    </row>
    <row r="2" spans="1:7" x14ac:dyDescent="0.25">
      <c r="A2" t="s">
        <v>20</v>
      </c>
      <c r="C2" t="s">
        <v>3</v>
      </c>
      <c r="E2" t="s">
        <v>103</v>
      </c>
      <c r="F2">
        <v>1</v>
      </c>
      <c r="G2" t="s">
        <v>127</v>
      </c>
    </row>
    <row r="3" spans="1:7" x14ac:dyDescent="0.25">
      <c r="A3" t="s">
        <v>21</v>
      </c>
      <c r="C3" t="s">
        <v>4</v>
      </c>
      <c r="E3" t="s">
        <v>104</v>
      </c>
      <c r="F3">
        <v>2</v>
      </c>
      <c r="G3" t="s">
        <v>128</v>
      </c>
    </row>
    <row r="4" spans="1:7" x14ac:dyDescent="0.25">
      <c r="A4" t="s">
        <v>22</v>
      </c>
      <c r="C4" t="s">
        <v>5</v>
      </c>
      <c r="E4" t="s">
        <v>77</v>
      </c>
      <c r="F4">
        <v>3</v>
      </c>
      <c r="G4" t="s">
        <v>129</v>
      </c>
    </row>
    <row r="5" spans="1:7" x14ac:dyDescent="0.25">
      <c r="A5" t="s">
        <v>23</v>
      </c>
      <c r="C5" t="s">
        <v>6</v>
      </c>
      <c r="E5" t="s">
        <v>105</v>
      </c>
      <c r="F5">
        <v>4</v>
      </c>
      <c r="G5" t="s">
        <v>131</v>
      </c>
    </row>
    <row r="6" spans="1:7" x14ac:dyDescent="0.25">
      <c r="A6" t="s">
        <v>24</v>
      </c>
      <c r="C6" t="s">
        <v>7</v>
      </c>
      <c r="E6" t="s">
        <v>106</v>
      </c>
      <c r="F6">
        <v>5</v>
      </c>
      <c r="G6" t="s">
        <v>132</v>
      </c>
    </row>
    <row r="7" spans="1:7" x14ac:dyDescent="0.25">
      <c r="A7" t="s">
        <v>25</v>
      </c>
      <c r="C7" t="s">
        <v>8</v>
      </c>
      <c r="E7" t="s">
        <v>107</v>
      </c>
      <c r="F7">
        <v>6</v>
      </c>
      <c r="G7" t="s">
        <v>133</v>
      </c>
    </row>
    <row r="8" spans="1:7" x14ac:dyDescent="0.25">
      <c r="A8" t="s">
        <v>26</v>
      </c>
      <c r="C8" t="s">
        <v>9</v>
      </c>
      <c r="E8" t="s">
        <v>108</v>
      </c>
      <c r="F8">
        <v>7</v>
      </c>
      <c r="G8" t="s">
        <v>130</v>
      </c>
    </row>
    <row r="9" spans="1:7" x14ac:dyDescent="0.25">
      <c r="A9" t="s">
        <v>27</v>
      </c>
      <c r="C9" t="s">
        <v>10</v>
      </c>
      <c r="E9" t="s">
        <v>109</v>
      </c>
      <c r="F9">
        <v>8</v>
      </c>
      <c r="G9" t="s">
        <v>134</v>
      </c>
    </row>
    <row r="10" spans="1:7" x14ac:dyDescent="0.25">
      <c r="A10" t="s">
        <v>28</v>
      </c>
      <c r="C10" t="s">
        <v>11</v>
      </c>
      <c r="E10" t="s">
        <v>110</v>
      </c>
      <c r="F10">
        <v>9</v>
      </c>
      <c r="G10" t="s">
        <v>135</v>
      </c>
    </row>
    <row r="11" spans="1:7" x14ac:dyDescent="0.25">
      <c r="A11" t="s">
        <v>29</v>
      </c>
      <c r="C11" t="s">
        <v>12</v>
      </c>
      <c r="E11" t="s">
        <v>111</v>
      </c>
      <c r="F11">
        <v>10</v>
      </c>
      <c r="G11" t="s">
        <v>136</v>
      </c>
    </row>
    <row r="12" spans="1:7" x14ac:dyDescent="0.25">
      <c r="A12" t="s">
        <v>30</v>
      </c>
      <c r="C12" t="s">
        <v>13</v>
      </c>
      <c r="E12" t="s">
        <v>113</v>
      </c>
      <c r="F12">
        <v>11</v>
      </c>
      <c r="G12" t="s">
        <v>137</v>
      </c>
    </row>
    <row r="13" spans="1:7" x14ac:dyDescent="0.25">
      <c r="A13" t="s">
        <v>31</v>
      </c>
      <c r="C13" t="s">
        <v>14</v>
      </c>
      <c r="E13" t="s">
        <v>112</v>
      </c>
      <c r="F13">
        <v>12</v>
      </c>
      <c r="G13" t="s">
        <v>138</v>
      </c>
    </row>
    <row r="14" spans="1:7" x14ac:dyDescent="0.25">
      <c r="A14" t="s">
        <v>32</v>
      </c>
      <c r="C14" t="s">
        <v>15</v>
      </c>
      <c r="E14" t="s">
        <v>114</v>
      </c>
      <c r="F14">
        <v>13</v>
      </c>
      <c r="G14" t="s">
        <v>139</v>
      </c>
    </row>
    <row r="15" spans="1:7" x14ac:dyDescent="0.25">
      <c r="A15" t="s">
        <v>33</v>
      </c>
      <c r="C15" t="s">
        <v>16</v>
      </c>
      <c r="E15" t="s">
        <v>115</v>
      </c>
      <c r="F15">
        <v>14</v>
      </c>
      <c r="G15" t="s">
        <v>140</v>
      </c>
    </row>
    <row r="16" spans="1:7" x14ac:dyDescent="0.25">
      <c r="A16" t="s">
        <v>34</v>
      </c>
      <c r="C16" t="s">
        <v>17</v>
      </c>
      <c r="E16" t="s">
        <v>116</v>
      </c>
      <c r="F16">
        <v>15</v>
      </c>
      <c r="G16" t="s">
        <v>141</v>
      </c>
    </row>
    <row r="17" spans="1:7" x14ac:dyDescent="0.25">
      <c r="A17" t="s">
        <v>35</v>
      </c>
      <c r="C17" t="s">
        <v>18</v>
      </c>
      <c r="E17" t="s">
        <v>117</v>
      </c>
      <c r="F17">
        <v>16</v>
      </c>
      <c r="G17" t="s">
        <v>142</v>
      </c>
    </row>
    <row r="18" spans="1:7" x14ac:dyDescent="0.25">
      <c r="A18" t="s">
        <v>36</v>
      </c>
      <c r="C18" t="s">
        <v>175</v>
      </c>
      <c r="E18" t="s">
        <v>118</v>
      </c>
      <c r="F18">
        <v>17</v>
      </c>
      <c r="G18" t="s">
        <v>143</v>
      </c>
    </row>
    <row r="19" spans="1:7" x14ac:dyDescent="0.25">
      <c r="A19" t="s">
        <v>37</v>
      </c>
      <c r="E19" t="s">
        <v>119</v>
      </c>
      <c r="F19">
        <v>18</v>
      </c>
      <c r="G19" t="s">
        <v>144</v>
      </c>
    </row>
    <row r="20" spans="1:7" x14ac:dyDescent="0.25">
      <c r="A20" t="s">
        <v>38</v>
      </c>
      <c r="E20" t="s">
        <v>120</v>
      </c>
      <c r="F20">
        <v>19</v>
      </c>
      <c r="G20" t="s">
        <v>145</v>
      </c>
    </row>
    <row r="21" spans="1:7" x14ac:dyDescent="0.25">
      <c r="A21" t="s">
        <v>39</v>
      </c>
      <c r="E21" t="s">
        <v>121</v>
      </c>
      <c r="F21">
        <v>20</v>
      </c>
      <c r="G21" t="s">
        <v>146</v>
      </c>
    </row>
    <row r="22" spans="1:7" x14ac:dyDescent="0.25">
      <c r="A22" t="s">
        <v>40</v>
      </c>
      <c r="E22" t="s">
        <v>122</v>
      </c>
      <c r="F22">
        <v>21</v>
      </c>
      <c r="G22" t="s">
        <v>147</v>
      </c>
    </row>
    <row r="23" spans="1:7" x14ac:dyDescent="0.25">
      <c r="A23" t="s">
        <v>41</v>
      </c>
      <c r="E23" t="s">
        <v>123</v>
      </c>
      <c r="F23">
        <v>22</v>
      </c>
      <c r="G23" t="s">
        <v>148</v>
      </c>
    </row>
    <row r="24" spans="1:7" x14ac:dyDescent="0.25">
      <c r="A24" t="s">
        <v>42</v>
      </c>
      <c r="E24" t="s">
        <v>124</v>
      </c>
      <c r="F24">
        <v>23</v>
      </c>
      <c r="G24" t="s">
        <v>149</v>
      </c>
    </row>
    <row r="25" spans="1:7" x14ac:dyDescent="0.25">
      <c r="A25" t="s">
        <v>43</v>
      </c>
      <c r="E25" t="s">
        <v>125</v>
      </c>
      <c r="F25">
        <v>24</v>
      </c>
      <c r="G25" t="s">
        <v>150</v>
      </c>
    </row>
    <row r="26" spans="1:7" x14ac:dyDescent="0.25">
      <c r="A26" t="s">
        <v>44</v>
      </c>
      <c r="E26" t="s">
        <v>126</v>
      </c>
      <c r="F26">
        <v>25</v>
      </c>
      <c r="G26" t="s">
        <v>151</v>
      </c>
    </row>
    <row r="27" spans="1:7" x14ac:dyDescent="0.25">
      <c r="A27" t="s">
        <v>45</v>
      </c>
      <c r="E27" t="s">
        <v>170</v>
      </c>
      <c r="F27">
        <v>26</v>
      </c>
      <c r="G27" t="s">
        <v>165</v>
      </c>
    </row>
    <row r="28" spans="1:7" x14ac:dyDescent="0.25">
      <c r="A28" t="s">
        <v>64</v>
      </c>
      <c r="E28" t="s">
        <v>171</v>
      </c>
      <c r="F28">
        <v>27</v>
      </c>
      <c r="G28" t="s">
        <v>166</v>
      </c>
    </row>
    <row r="29" spans="1:7" x14ac:dyDescent="0.25">
      <c r="A29" t="s">
        <v>46</v>
      </c>
      <c r="E29" t="s">
        <v>172</v>
      </c>
      <c r="F29">
        <v>28</v>
      </c>
      <c r="G29" t="s">
        <v>167</v>
      </c>
    </row>
    <row r="30" spans="1:7" x14ac:dyDescent="0.25">
      <c r="A30" t="s">
        <v>47</v>
      </c>
      <c r="E30" t="s">
        <v>173</v>
      </c>
      <c r="F30">
        <v>29</v>
      </c>
      <c r="G30" t="s">
        <v>168</v>
      </c>
    </row>
    <row r="31" spans="1:7" x14ac:dyDescent="0.25">
      <c r="A31" t="s">
        <v>48</v>
      </c>
      <c r="E31" t="s">
        <v>174</v>
      </c>
      <c r="F31">
        <v>30</v>
      </c>
      <c r="G31" t="s">
        <v>169</v>
      </c>
    </row>
    <row r="32" spans="1:7" x14ac:dyDescent="0.25">
      <c r="A32" t="s">
        <v>49</v>
      </c>
    </row>
    <row r="33" spans="1:1" x14ac:dyDescent="0.25">
      <c r="A33" t="s">
        <v>50</v>
      </c>
    </row>
    <row r="34" spans="1:1" x14ac:dyDescent="0.25">
      <c r="A34" t="s">
        <v>51</v>
      </c>
    </row>
    <row r="35" spans="1:1" x14ac:dyDescent="0.25">
      <c r="A35" t="s">
        <v>52</v>
      </c>
    </row>
    <row r="36" spans="1:1" x14ac:dyDescent="0.25">
      <c r="A36" t="s">
        <v>53</v>
      </c>
    </row>
    <row r="37" spans="1:1" x14ac:dyDescent="0.25">
      <c r="A37" t="s">
        <v>54</v>
      </c>
    </row>
    <row r="38" spans="1:1" x14ac:dyDescent="0.25">
      <c r="A38" t="s">
        <v>55</v>
      </c>
    </row>
    <row r="39" spans="1:1" x14ac:dyDescent="0.25">
      <c r="A39" t="s">
        <v>56</v>
      </c>
    </row>
    <row r="40" spans="1:1" x14ac:dyDescent="0.25">
      <c r="A40" t="s">
        <v>57</v>
      </c>
    </row>
    <row r="41" spans="1:1" x14ac:dyDescent="0.25">
      <c r="A41" t="s">
        <v>58</v>
      </c>
    </row>
    <row r="42" spans="1:1" x14ac:dyDescent="0.25">
      <c r="A42" t="s">
        <v>59</v>
      </c>
    </row>
    <row r="43" spans="1:1" x14ac:dyDescent="0.25">
      <c r="A43" t="s">
        <v>60</v>
      </c>
    </row>
    <row r="44" spans="1:1" x14ac:dyDescent="0.25">
      <c r="A44" t="s">
        <v>61</v>
      </c>
    </row>
    <row r="45" spans="1:1" x14ac:dyDescent="0.25">
      <c r="A45" t="s">
        <v>62</v>
      </c>
    </row>
    <row r="46" spans="1:1" x14ac:dyDescent="0.25">
      <c r="A46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4</vt:i4>
      </vt:variant>
    </vt:vector>
  </HeadingPairs>
  <TitlesOfParts>
    <vt:vector size="7" baseType="lpstr">
      <vt:lpstr>Registrar aquí</vt:lpstr>
      <vt:lpstr>Hoja para Impresión</vt:lpstr>
      <vt:lpstr>Parámetros</vt:lpstr>
      <vt:lpstr>'Hoja para Impresión'!Área_de_impresión</vt:lpstr>
      <vt:lpstr>lDiocesis</vt:lpstr>
      <vt:lpstr>lNComunidad</vt:lpstr>
      <vt:lpstr>lPasos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2026-09-30T21:49:38Z</dcterms:modified>
</cp:coreProperties>
</file>